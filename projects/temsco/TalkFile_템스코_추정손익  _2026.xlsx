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내문서\1.문서\투자관련\투자\IR 및 투자\1.템스코 IR 자료\2026\"/>
    </mc:Choice>
  </mc:AlternateContent>
  <xr:revisionPtr revIDLastSave="0" documentId="13_ncr:1_{E7DFA535-432A-471B-931B-D759D138DB03}" xr6:coauthVersionLast="47" xr6:coauthVersionMax="47" xr10:uidLastSave="{00000000-0000-0000-0000-000000000000}"/>
  <bookViews>
    <workbookView xWindow="19090" yWindow="-110" windowWidth="38620" windowHeight="21100" tabRatio="500" firstSheet="4" activeTab="4" xr2:uid="{00000000-000D-0000-FFFF-FFFF00000000}"/>
  </bookViews>
  <sheets>
    <sheet name="가정" sheetId="1" state="hidden" r:id="rId1"/>
    <sheet name="Sheet1" sheetId="5" state="hidden" r:id="rId2"/>
    <sheet name="추정손익계산서" sheetId="2" state="hidden" r:id="rId3"/>
    <sheet name="CAPEX" sheetId="4" state="hidden" r:id="rId4"/>
    <sheet name="추정손익 (마스크 구분)" sheetId="6" r:id="rId5"/>
    <sheet name="Sheet2" sheetId="7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Dist_Bin" hidden="1">'[1]97년'!#REF!</definedName>
    <definedName name="_Dist_Values" hidden="1">'[1]97년'!#REF!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hidden="1">'[2]13역무손익'!#REF!</definedName>
    <definedName name="_Sort" hidden="1">#REF!</definedName>
    <definedName name="_Table1_In1" hidden="1">[3]노동부!#REF!</definedName>
    <definedName name="_Table1_Out" hidden="1">[3]노동부!#REF!</definedName>
    <definedName name="_Table2_In1" hidden="1">[3]노동부!#REF!</definedName>
    <definedName name="_Table2_In2" hidden="1">[3]노동부!#REF!</definedName>
    <definedName name="_Table2_Out" hidden="1">[3]노동부!#REF!</definedName>
    <definedName name="AS2DocOpenMode" hidden="1">"AS2DocumentEdit"</definedName>
    <definedName name="CIQWBGuid" hidden="1">"92e3702d-7320-41f4-ac0e-49fb7300e4ab"</definedName>
    <definedName name="dewfd" hidden="1">{#N/A,#N/A,FALSE,"1.CRITERIA";#N/A,#N/A,FALSE,"2.IS";#N/A,#N/A,FALSE,"3.BS";#N/A,#N/A,FALSE,"4.PER PL";#N/A,#N/A,FALSE,"5.INVESTMENT";#N/A,#N/A,FALSE,"6.공문";#N/A,#N/A,FALSE,"7.netinvest"}</definedName>
    <definedName name="dsds" hidden="1">{#N/A,#N/A,FALSE,"1.CRITERIA";#N/A,#N/A,FALSE,"2.IS";#N/A,#N/A,FALSE,"3.BS";#N/A,#N/A,FALSE,"4.PER PL";#N/A,#N/A,FALSE,"5.INVESTMENT";#N/A,#N/A,FALSE,"6.공문";#N/A,#N/A,FALSE,"7.netinvest"}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"04/28/2015 04:21:50"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mkt_date">'[4]RMT Feeder'!$M$31</definedName>
    <definedName name="Project_Name">'[5]Base Info'!$D$3</definedName>
    <definedName name="ReportCreated">TRUE</definedName>
    <definedName name="rkrkrrk" hidden="1">{#N/A,#N/A,FALSE,"1.CRITERIA";#N/A,#N/A,FALSE,"2.IS";#N/A,#N/A,FALSE,"3.BS";#N/A,#N/A,FALSE,"4.PER PL";#N/A,#N/A,FALSE,"5.INVESTMENT";#N/A,#N/A,FALSE,"6.공문";#N/A,#N/A,FALSE,"7.netinvest"}</definedName>
    <definedName name="SSS" hidden="1">#REF!</definedName>
    <definedName name="TextRefCopyRangeCount" hidden="1">5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XREF_COLUMN_1" hidden="1">[6]주식보상비용!#REF!</definedName>
    <definedName name="XREF_COLUMN_3" hidden="1">#REF!</definedName>
    <definedName name="XRefActiveRow" hidden="1">#REF!</definedName>
    <definedName name="XRefColumnsCount" hidden="1">3</definedName>
    <definedName name="XRefCopy1Row" hidden="1">#REF!</definedName>
    <definedName name="XRefCopy2Row" hidden="1">#REF!</definedName>
    <definedName name="XRefCopy3" hidden="1">#REF!</definedName>
    <definedName name="XRefCopy3Row" hidden="1">#REF!</definedName>
    <definedName name="XRefCopyRangeCount" hidden="1">3</definedName>
    <definedName name="가" hidden="1">{#N/A,#N/A,FALSE,"1.CRITERIA";#N/A,#N/A,FALSE,"2.IS";#N/A,#N/A,FALSE,"3.BS";#N/A,#N/A,FALSE,"4.PER PL";#N/A,#N/A,FALSE,"5.INVESTMENT";#N/A,#N/A,FALSE,"6.공문";#N/A,#N/A,FALSE,"7.netinvest"}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나" hidden="1">{#N/A,#N/A,FALSE,"1.CRITERIA";#N/A,#N/A,FALSE,"2.IS";#N/A,#N/A,FALSE,"3.BS";#N/A,#N/A,FALSE,"4.PER PL";#N/A,#N/A,FALSE,"5.INVESTMENT";#N/A,#N/A,FALSE,"6.공문";#N/A,#N/A,FALSE,"7.netinvest"}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강" hidden="1">{#N/A,#N/A,FALSE,"1.CRITERIA";#N/A,#N/A,FALSE,"2.IS";#N/A,#N/A,FALSE,"3.BS";#N/A,#N/A,FALSE,"4.PER PL";#N/A,#N/A,FALSE,"5.INVESTMENT";#N/A,#N/A,FALSE,"6.공문";#N/A,#N/A,FALSE,"7.netinvest"}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기" hidden="1">{#N/A,#N/A,FALSE,"1.CRITERIA";#N/A,#N/A,FALSE,"2.IS";#N/A,#N/A,FALSE,"3.BS";#N/A,#N/A,FALSE,"4.PER PL";#N/A,#N/A,FALSE,"5.INVESTMENT";#N/A,#N/A,FALSE,"6.공문";#N/A,#N/A,FALSE,"7.netinvest"}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나" hidden="1">{#N/A,#N/A,FALSE,"1.CRITERIA";#N/A,#N/A,FALSE,"2.IS";#N/A,#N/A,FALSE,"3.BS";#N/A,#N/A,FALSE,"4.PER PL";#N/A,#N/A,FALSE,"5.INVESTMENT";#N/A,#N/A,FALSE,"6.공문";#N/A,#N/A,FALSE,"7.netinvest"}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녀" hidden="1">{#N/A,#N/A,FALSE,"1.CRITERIA";#N/A,#N/A,FALSE,"2.IS";#N/A,#N/A,FALSE,"3.BS";#N/A,#N/A,FALSE,"4.PER PL";#N/A,#N/A,FALSE,"5.INVESTMENT";#N/A,#N/A,FALSE,"6.공문";#N/A,#N/A,FALSE,"7.netinvest"}</definedName>
    <definedName name="노" hidden="1">{#N/A,#N/A,FALSE,"1.CRITERIA";#N/A,#N/A,FALSE,"2.IS";#N/A,#N/A,FALSE,"3.BS";#N/A,#N/A,FALSE,"4.PER PL";#N/A,#N/A,FALSE,"5.INVESTMENT";#N/A,#N/A,FALSE,"6.공문";#N/A,#N/A,FALSE,"7.netinvest"}</definedName>
    <definedName name="다" hidden="1">{#N/A,#N/A,FALSE,"1.CRITERIA";#N/A,#N/A,FALSE,"2.IS";#N/A,#N/A,FALSE,"3.BS";#N/A,#N/A,FALSE,"4.PER PL";#N/A,#N/A,FALSE,"5.INVESTMENT";#N/A,#N/A,FALSE,"6.공문";#N/A,#N/A,FALSE,"7.netinvest"}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도" hidden="1">{#N/A,#N/A,FALSE,"1.CRITERIA";#N/A,#N/A,FALSE,"2.IS";#N/A,#N/A,FALSE,"3.BS";#N/A,#N/A,FALSE,"4.PER PL";#N/A,#N/A,FALSE,"5.INVESTMENT";#N/A,#N/A,FALSE,"6.공문";#N/A,#N/A,FALSE,"7.netinvest"}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ㄹ" hidden="1">{#N/A,#N/A,FALSE,"1.CRITERIA";#N/A,#N/A,FALSE,"2.IS";#N/A,#N/A,FALSE,"3.BS";#N/A,#N/A,FALSE,"4.PER PL";#N/A,#N/A,FALSE,"5.INVESTMENT";#N/A,#N/A,FALSE,"6.공문";#N/A,#N/A,FALSE,"7.netinvest"}</definedName>
    <definedName name="라" hidden="1">{#N/A,#N/A,FALSE,"1.CRITERIA";#N/A,#N/A,FALSE,"2.IS";#N/A,#N/A,FALSE,"3.BS";#N/A,#N/A,FALSE,"4.PER PL";#N/A,#N/A,FALSE,"5.INVESTMENT";#N/A,#N/A,FALSE,"6.공문";#N/A,#N/A,FALSE,"7.netinvest"}</definedName>
    <definedName name="라리" hidden="1">{#N/A,#N/A,FALSE,"1.CRITERIA";#N/A,#N/A,FALSE,"2.IS";#N/A,#N/A,FALSE,"3.BS";#N/A,#N/A,FALSE,"4.PER PL";#N/A,#N/A,FALSE,"5.INVESTMENT";#N/A,#N/A,FALSE,"6.공문";#N/A,#N/A,FALSE,"7.netinvest"}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러ㅏㅇ" hidden="1">{#N/A,#N/A,FALSE,"1.CRITERIA";#N/A,#N/A,FALSE,"2.IS";#N/A,#N/A,FALSE,"3.BS";#N/A,#N/A,FALSE,"4.PER PL";#N/A,#N/A,FALSE,"5.INVESTMENT";#N/A,#N/A,FALSE,"6.공문";#N/A,#N/A,FALSE,"7.netinvest"}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ㅁㅁㅁ" hidden="1">#REF!</definedName>
    <definedName name="마" hidden="1">{#N/A,#N/A,FALSE,"1.CRITERIA";#N/A,#N/A,FALSE,"2.IS";#N/A,#N/A,FALSE,"3.BS";#N/A,#N/A,FALSE,"4.PER PL";#N/A,#N/A,FALSE,"5.INVESTMENT";#N/A,#N/A,FALSE,"6.공문";#N/A,#N/A,FALSE,"7.netinvest"}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매" hidden="1">{#N/A,#N/A,FALSE,"1.CRITERIA";#N/A,#N/A,FALSE,"2.IS";#N/A,#N/A,FALSE,"3.BS";#N/A,#N/A,FALSE,"4.PER PL";#N/A,#N/A,FALSE,"5.INVESTMENT";#N/A,#N/A,FALSE,"6.공문";#N/A,#N/A,FALSE,"7.netinvest"}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바" hidden="1">{#N/A,#N/A,FALSE,"1.CRITERIA";#N/A,#N/A,FALSE,"2.IS";#N/A,#N/A,FALSE,"3.BS";#N/A,#N/A,FALSE,"4.PER PL";#N/A,#N/A,FALSE,"5.INVESTMENT";#N/A,#N/A,FALSE,"6.공문";#N/A,#N/A,FALSE,"7.netinvest"}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박" hidden="1">{#N/A,#N/A,FALSE,"1.CRITERIA";#N/A,#N/A,FALSE,"2.IS";#N/A,#N/A,FALSE,"3.BS";#N/A,#N/A,FALSE,"4.PER PL";#N/A,#N/A,FALSE,"5.INVESTMENT";#N/A,#N/A,FALSE,"6.공문";#N/A,#N/A,FALSE,"7.netinvest"}</definedName>
    <definedName name="발" hidden="1">{#N/A,#N/A,FALSE,"1.CRITERIA";#N/A,#N/A,FALSE,"2.IS";#N/A,#N/A,FALSE,"3.BS";#N/A,#N/A,FALSE,"4.PER PL";#N/A,#N/A,FALSE,"5.INVESTMENT";#N/A,#N/A,FALSE,"6.공문";#N/A,#N/A,FALSE,"7.netinvest"}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보" hidden="1">{#N/A,#N/A,FALSE,"1.CRITERIA";#N/A,#N/A,FALSE,"2.IS";#N/A,#N/A,FALSE,"3.BS";#N/A,#N/A,FALSE,"4.PER PL";#N/A,#N/A,FALSE,"5.INVESTMENT";#N/A,#N/A,FALSE,"6.공문";#N/A,#N/A,FALSE,"7.netinvest"}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봐" hidden="1">{#N/A,#N/A,FALSE,"1.CRITERIA";#N/A,#N/A,FALSE,"2.IS";#N/A,#N/A,FALSE,"3.BS";#N/A,#N/A,FALSE,"4.PER PL";#N/A,#N/A,FALSE,"5.INVESTMENT";#N/A,#N/A,FALSE,"6.공문";#N/A,#N/A,FALSE,"7.netinvest"}</definedName>
    <definedName name="분기외화" hidden="1">{#N/A,#N/A,FALSE,"1.CRITERIA";#N/A,#N/A,FALSE,"2.IS";#N/A,#N/A,FALSE,"3.BS";#N/A,#N/A,FALSE,"4.PER PL";#N/A,#N/A,FALSE,"5.INVESTMENT";#N/A,#N/A,FALSE,"6.공문";#N/A,#N/A,FALSE,"7.netinvest"}</definedName>
    <definedName name="비" hidden="1">{#N/A,#N/A,FALSE,"1.CRITERIA";#N/A,#N/A,FALSE,"2.IS";#N/A,#N/A,FALSE,"3.BS";#N/A,#N/A,FALSE,"4.PER PL";#N/A,#N/A,FALSE,"5.INVESTMENT";#N/A,#N/A,FALSE,"6.공문";#N/A,#N/A,FALSE,"7.netinvest"}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사" hidden="1">{#N/A,#N/A,FALSE,"1.CRITERIA";#N/A,#N/A,FALSE,"2.IS";#N/A,#N/A,FALSE,"3.BS";#N/A,#N/A,FALSE,"4.PER PL";#N/A,#N/A,FALSE,"5.INVESTMENT";#N/A,#N/A,FALSE,"6.공문";#N/A,#N/A,FALSE,"7.netinvest"}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아" hidden="1">{#N/A,#N/A,FALSE,"1.CRITERIA";#N/A,#N/A,FALSE,"2.IS";#N/A,#N/A,FALSE,"3.BS";#N/A,#N/A,FALSE,"4.PER PL";#N/A,#N/A,FALSE,"5.INVESTMENT";#N/A,#N/A,FALSE,"6.공문";#N/A,#N/A,FALSE,"7.netinvest"}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업" hidden="1">{#N/A,#N/A,FALSE,"1.CRITERIA";#N/A,#N/A,FALSE,"2.IS";#N/A,#N/A,FALSE,"3.BS";#N/A,#N/A,FALSE,"4.PER PL";#N/A,#N/A,FALSE,"5.INVESTMENT";#N/A,#N/A,FALSE,"6.공문";#N/A,#N/A,FALSE,"7.netinvest"}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" hidden="1">#REF!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오" hidden="1">{#N/A,#N/A,FALSE,"1.CRITERIA";#N/A,#N/A,FALSE,"2.IS";#N/A,#N/A,FALSE,"3.BS";#N/A,#N/A,FALSE,"4.PER PL";#N/A,#N/A,FALSE,"5.INVESTMENT";#N/A,#N/A,FALSE,"6.공문";#N/A,#N/A,FALSE,"7.netinvest"}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요" hidden="1">{#N/A,#N/A,FALSE,"1.CRITERIA";#N/A,#N/A,FALSE,"2.IS";#N/A,#N/A,FALSE,"3.BS";#N/A,#N/A,FALSE,"4.PER PL";#N/A,#N/A,FALSE,"5.INVESTMENT";#N/A,#N/A,FALSE,"6.공문";#N/A,#N/A,FALSE,"7.netinvest"}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이ㅏㅓ" hidden="1">{#N/A,#N/A,FALSE,"1.CRITERIA";#N/A,#N/A,FALSE,"2.IS";#N/A,#N/A,FALSE,"3.BS";#N/A,#N/A,FALSE,"4.PER PL";#N/A,#N/A,FALSE,"5.INVESTMENT";#N/A,#N/A,FALSE,"6.공문";#N/A,#N/A,FALSE,"7.netinvest"}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제조" hidden="1">{#N/A,#N/A,FALSE,"1.CRITERIA";#N/A,#N/A,FALSE,"2.IS";#N/A,#N/A,FALSE,"3.BS";#N/A,#N/A,FALSE,"4.PER PL";#N/A,#N/A,FALSE,"5.INVESTMENT";#N/A,#N/A,FALSE,"6.공문";#N/A,#N/A,FALSE,"7.netinvest"}</definedName>
    <definedName name="조" hidden="1">{#N/A,#N/A,FALSE,"1.CRITERIA";#N/A,#N/A,FALSE,"2.IS";#N/A,#N/A,FALSE,"3.BS";#N/A,#N/A,FALSE,"4.PER PL";#N/A,#N/A,FALSE,"5.INVESTMENT";#N/A,#N/A,FALSE,"6.공문";#N/A,#N/A,FALSE,"7.netinvest"}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평균이자" hidden="1">'[7]97년'!#REF!</definedName>
    <definedName name="포" hidden="1">{#N/A,#N/A,FALSE,"1.CRITERIA";#N/A,#N/A,FALSE,"2.IS";#N/A,#N/A,FALSE,"3.BS";#N/A,#N/A,FALSE,"4.PER PL";#N/A,#N/A,FALSE,"5.INVESTMENT";#N/A,#N/A,FALSE,"6.공문";#N/A,#N/A,FALSE,"7.netinvest"}</definedName>
    <definedName name="하" hidden="1">{#N/A,#N/A,FALSE,"1.CRITERIA";#N/A,#N/A,FALSE,"2.IS";#N/A,#N/A,FALSE,"3.BS";#N/A,#N/A,FALSE,"4.PER PL";#N/A,#N/A,FALSE,"5.INVESTMENT";#N/A,#N/A,FALSE,"6.공문";#N/A,#N/A,FALSE,"7.netinvest"}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호" hidden="1">{#N/A,#N/A,FALSE,"1.CRITERIA";#N/A,#N/A,FALSE,"2.IS";#N/A,#N/A,FALSE,"3.BS";#N/A,#N/A,FALSE,"4.PER PL";#N/A,#N/A,FALSE,"5.INVESTMENT";#N/A,#N/A,FALSE,"6.공문";#N/A,#N/A,FALSE,"7.netinvest"}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흐" hidden="1">{#N/A,#N/A,FALSE,"1.CRITERIA";#N/A,#N/A,FALSE,"2.IS";#N/A,#N/A,FALSE,"3.BS";#N/A,#N/A,FALSE,"4.PER PL";#N/A,#N/A,FALSE,"5.INVESTMENT";#N/A,#N/A,FALSE,"6.공문";#N/A,#N/A,FALSE,"7.netinvest"}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13" i="6" l="1"/>
  <c r="S13" i="6"/>
  <c r="P13" i="6"/>
  <c r="L10" i="6"/>
  <c r="V9" i="6" l="1"/>
  <c r="V11" i="6" s="1"/>
  <c r="S9" i="6"/>
  <c r="S11" i="6" s="1"/>
  <c r="P9" i="6"/>
  <c r="V5" i="6"/>
  <c r="W6" i="6"/>
  <c r="V7" i="6"/>
  <c r="S5" i="6"/>
  <c r="T6" i="6"/>
  <c r="T5" i="6"/>
  <c r="P5" i="6"/>
  <c r="P11" i="6" s="1"/>
  <c r="Q6" i="6"/>
  <c r="Q5" i="6"/>
  <c r="G3" i="7"/>
  <c r="G7" i="7" s="1"/>
  <c r="V12" i="6" l="1"/>
  <c r="W5" i="6"/>
  <c r="M9" i="6" l="1"/>
  <c r="L9" i="6"/>
  <c r="L11" i="6" s="1"/>
  <c r="L12" i="6" s="1"/>
  <c r="L13" i="6" s="1"/>
  <c r="N8" i="6"/>
  <c r="N6" i="6"/>
  <c r="N5" i="6"/>
  <c r="K10" i="6"/>
  <c r="K8" i="6"/>
  <c r="K5" i="6"/>
  <c r="H10" i="6"/>
  <c r="H8" i="6"/>
  <c r="H6" i="6"/>
  <c r="H5" i="6"/>
  <c r="E10" i="6"/>
  <c r="E8" i="6"/>
  <c r="E5" i="6"/>
  <c r="N9" i="6" l="1"/>
  <c r="J9" i="6"/>
  <c r="K9" i="6" s="1"/>
  <c r="G9" i="6"/>
  <c r="H9" i="6" s="1"/>
  <c r="S7" i="6" l="1"/>
  <c r="S12" i="6" s="1"/>
  <c r="P7" i="6"/>
  <c r="M11" i="6"/>
  <c r="M7" i="6"/>
  <c r="J11" i="6"/>
  <c r="J7" i="6"/>
  <c r="J13" i="6" s="1"/>
  <c r="G11" i="6"/>
  <c r="G7" i="6"/>
  <c r="G13" i="6" s="1"/>
  <c r="D7" i="6"/>
  <c r="D13" i="6" s="1"/>
  <c r="D9" i="6"/>
  <c r="M12" i="6" l="1"/>
  <c r="P12" i="6"/>
  <c r="D11" i="6"/>
  <c r="E9" i="6"/>
  <c r="I28" i="6"/>
  <c r="I27" i="6" s="1"/>
  <c r="F28" i="6"/>
  <c r="F27" i="6" s="1"/>
  <c r="C28" i="6"/>
  <c r="C27" i="6" s="1"/>
  <c r="L26" i="6"/>
  <c r="O26" i="6" s="1"/>
  <c r="R24" i="6"/>
  <c r="U24" i="6" s="1"/>
  <c r="O23" i="6"/>
  <c r="R23" i="6" s="1"/>
  <c r="U23" i="6" s="1"/>
  <c r="L23" i="6"/>
  <c r="I19" i="6"/>
  <c r="F19" i="6"/>
  <c r="U16" i="6"/>
  <c r="R16" i="6"/>
  <c r="O16" i="6"/>
  <c r="L16" i="6"/>
  <c r="C16" i="6"/>
  <c r="L15" i="6"/>
  <c r="O15" i="6" s="1"/>
  <c r="C15" i="6"/>
  <c r="I11" i="6"/>
  <c r="K11" i="6" s="1"/>
  <c r="F11" i="6"/>
  <c r="H11" i="6" s="1"/>
  <c r="C11" i="6"/>
  <c r="U10" i="6"/>
  <c r="W10" i="6" s="1"/>
  <c r="R10" i="6"/>
  <c r="T10" i="6" s="1"/>
  <c r="O10" i="6"/>
  <c r="Q10" i="6" s="1"/>
  <c r="N10" i="6"/>
  <c r="U9" i="6"/>
  <c r="W9" i="6" s="1"/>
  <c r="R9" i="6"/>
  <c r="T9" i="6" s="1"/>
  <c r="O9" i="6"/>
  <c r="Q9" i="6" s="1"/>
  <c r="U7" i="6"/>
  <c r="R7" i="6"/>
  <c r="T7" i="6" s="1"/>
  <c r="O7" i="6"/>
  <c r="O18" i="6" s="1"/>
  <c r="L7" i="6"/>
  <c r="F7" i="6"/>
  <c r="H7" i="6" s="1"/>
  <c r="I6" i="6"/>
  <c r="C6" i="6"/>
  <c r="G26" i="2"/>
  <c r="F26" i="2"/>
  <c r="I18" i="2"/>
  <c r="H18" i="2"/>
  <c r="G18" i="2"/>
  <c r="F18" i="2"/>
  <c r="F15" i="2"/>
  <c r="G15" i="2" s="1"/>
  <c r="F14" i="4"/>
  <c r="E14" i="4"/>
  <c r="D14" i="4"/>
  <c r="I16" i="2"/>
  <c r="H16" i="2"/>
  <c r="G16" i="2"/>
  <c r="F16" i="2"/>
  <c r="C15" i="4"/>
  <c r="F27" i="2"/>
  <c r="G27" i="2"/>
  <c r="F28" i="2"/>
  <c r="F23" i="2"/>
  <c r="G23" i="2"/>
  <c r="F15" i="4"/>
  <c r="F11" i="4"/>
  <c r="F10" i="2"/>
  <c r="F9" i="2"/>
  <c r="F7" i="2"/>
  <c r="U18" i="6" l="1"/>
  <c r="W7" i="6"/>
  <c r="Q7" i="6"/>
  <c r="L18" i="6"/>
  <c r="L19" i="6" s="1"/>
  <c r="N7" i="6"/>
  <c r="I7" i="6"/>
  <c r="K7" i="6" s="1"/>
  <c r="K6" i="6"/>
  <c r="E11" i="6"/>
  <c r="C7" i="6"/>
  <c r="E7" i="6" s="1"/>
  <c r="E6" i="6"/>
  <c r="O11" i="6"/>
  <c r="F12" i="6"/>
  <c r="F13" i="6" s="1"/>
  <c r="R11" i="6"/>
  <c r="R18" i="6"/>
  <c r="U11" i="6"/>
  <c r="C18" i="6"/>
  <c r="C19" i="6" s="1"/>
  <c r="R26" i="6"/>
  <c r="U26" i="6" s="1"/>
  <c r="R15" i="6"/>
  <c r="O19" i="6"/>
  <c r="L27" i="6"/>
  <c r="L28" i="6" s="1"/>
  <c r="O27" i="6"/>
  <c r="R27" i="6" s="1"/>
  <c r="U27" i="6" s="1"/>
  <c r="H15" i="2"/>
  <c r="I15" i="2" s="1"/>
  <c r="F19" i="2"/>
  <c r="F11" i="2"/>
  <c r="F12" i="2" s="1"/>
  <c r="F20" i="2" s="1"/>
  <c r="D15" i="4"/>
  <c r="E15" i="4" s="1"/>
  <c r="E28" i="2"/>
  <c r="D28" i="2"/>
  <c r="C28" i="2"/>
  <c r="C27" i="2" s="1"/>
  <c r="H24" i="2"/>
  <c r="I24" i="2" s="1"/>
  <c r="C16" i="4"/>
  <c r="E11" i="4"/>
  <c r="D11" i="4"/>
  <c r="C11" i="4"/>
  <c r="F13" i="2" l="1"/>
  <c r="U12" i="6"/>
  <c r="W11" i="6"/>
  <c r="R12" i="6"/>
  <c r="T11" i="6"/>
  <c r="O12" i="6"/>
  <c r="Q12" i="6" s="1"/>
  <c r="Q13" i="6" s="1"/>
  <c r="Q11" i="6"/>
  <c r="N12" i="6"/>
  <c r="N13" i="6" s="1"/>
  <c r="N11" i="6"/>
  <c r="I12" i="6"/>
  <c r="H12" i="6"/>
  <c r="H13" i="6" s="1"/>
  <c r="C12" i="6"/>
  <c r="E12" i="6" s="1"/>
  <c r="E13" i="6" s="1"/>
  <c r="C20" i="6"/>
  <c r="C21" i="6" s="1"/>
  <c r="F20" i="6"/>
  <c r="F21" i="6" s="1"/>
  <c r="O28" i="6"/>
  <c r="U28" i="6"/>
  <c r="U15" i="6"/>
  <c r="U19" i="6" s="1"/>
  <c r="U20" i="6" s="1"/>
  <c r="R19" i="6"/>
  <c r="R20" i="6" s="1"/>
  <c r="R28" i="6"/>
  <c r="F29" i="2"/>
  <c r="F21" i="2"/>
  <c r="C16" i="2"/>
  <c r="C15" i="2"/>
  <c r="C18" i="2" s="1"/>
  <c r="C6" i="2"/>
  <c r="C7" i="2" s="1"/>
  <c r="C11" i="2"/>
  <c r="I10" i="2"/>
  <c r="I9" i="2"/>
  <c r="H10" i="2"/>
  <c r="H9" i="2"/>
  <c r="G10" i="2"/>
  <c r="G9" i="2"/>
  <c r="D19" i="2"/>
  <c r="R13" i="6" l="1"/>
  <c r="T12" i="6"/>
  <c r="T13" i="6" s="1"/>
  <c r="O13" i="6"/>
  <c r="O20" i="6"/>
  <c r="U13" i="6"/>
  <c r="W12" i="6"/>
  <c r="W13" i="6" s="1"/>
  <c r="F29" i="6"/>
  <c r="F31" i="6" s="1"/>
  <c r="F32" i="6" s="1"/>
  <c r="L20" i="6"/>
  <c r="L29" i="6" s="1"/>
  <c r="C13" i="6"/>
  <c r="I20" i="6"/>
  <c r="K12" i="6"/>
  <c r="K13" i="6" s="1"/>
  <c r="I13" i="6"/>
  <c r="C29" i="6"/>
  <c r="C31" i="6" s="1"/>
  <c r="C32" i="6" s="1"/>
  <c r="R29" i="6"/>
  <c r="R21" i="6"/>
  <c r="O29" i="6"/>
  <c r="O21" i="6"/>
  <c r="U29" i="6"/>
  <c r="U21" i="6"/>
  <c r="F30" i="2"/>
  <c r="F31" i="2" s="1"/>
  <c r="F32" i="2" s="1"/>
  <c r="C19" i="2"/>
  <c r="C12" i="2"/>
  <c r="C13" i="2"/>
  <c r="L21" i="6" l="1"/>
  <c r="I29" i="6"/>
  <c r="I31" i="6" s="1"/>
  <c r="I32" i="6" s="1"/>
  <c r="I21" i="6"/>
  <c r="U30" i="6"/>
  <c r="U31" i="6" s="1"/>
  <c r="U32" i="6" s="1"/>
  <c r="L30" i="6"/>
  <c r="L31" i="6" s="1"/>
  <c r="L32" i="6" s="1"/>
  <c r="O30" i="6"/>
  <c r="O31" i="6" s="1"/>
  <c r="O32" i="6" s="1"/>
  <c r="R30" i="6"/>
  <c r="R31" i="6" s="1"/>
  <c r="R32" i="6" s="1"/>
  <c r="C20" i="2"/>
  <c r="C29" i="2"/>
  <c r="C31" i="2" s="1"/>
  <c r="C32" i="2" s="1"/>
  <c r="C21" i="2"/>
  <c r="E6" i="2" l="1"/>
  <c r="H23" i="2" l="1"/>
  <c r="E11" i="2"/>
  <c r="D11" i="2"/>
  <c r="E7" i="2"/>
  <c r="D7" i="2"/>
  <c r="D12" i="2" l="1"/>
  <c r="D13" i="2" s="1"/>
  <c r="E12" i="2"/>
  <c r="E13" i="2" s="1"/>
  <c r="G7" i="2"/>
  <c r="I23" i="2"/>
  <c r="H26" i="2"/>
  <c r="G19" i="2" l="1"/>
  <c r="I26" i="2"/>
  <c r="E19" i="2"/>
  <c r="E20" i="2" s="1"/>
  <c r="H7" i="2"/>
  <c r="D20" i="2"/>
  <c r="I7" i="2"/>
  <c r="G11" i="2" l="1"/>
  <c r="G12" i="2" s="1"/>
  <c r="I19" i="2"/>
  <c r="D21" i="2"/>
  <c r="E21" i="2"/>
  <c r="G20" i="2" l="1"/>
  <c r="G21" i="2" s="1"/>
  <c r="G13" i="2"/>
  <c r="H19" i="2"/>
  <c r="I11" i="2"/>
  <c r="H11" i="2"/>
  <c r="H12" i="2" s="1"/>
  <c r="H13" i="2" l="1"/>
  <c r="H20" i="2"/>
  <c r="I12" i="2"/>
  <c r="H21" i="2" l="1"/>
  <c r="I13" i="2"/>
  <c r="I20" i="2"/>
  <c r="I21" i="2" l="1"/>
  <c r="D27" i="2" l="1"/>
  <c r="D29" i="2"/>
  <c r="D31" i="2" s="1"/>
  <c r="D32" i="2" s="1"/>
  <c r="E27" i="2"/>
  <c r="E29" i="2"/>
  <c r="E31" i="2" s="1"/>
  <c r="E32" i="2" s="1"/>
  <c r="H27" i="2" l="1"/>
  <c r="G28" i="2"/>
  <c r="G29" i="2" s="1"/>
  <c r="G30" i="2" l="1"/>
  <c r="G31" i="2" s="1"/>
  <c r="G32" i="2" s="1"/>
  <c r="I27" i="2"/>
  <c r="I28" i="2" s="1"/>
  <c r="I29" i="2" s="1"/>
  <c r="H28" i="2"/>
  <c r="H29" i="2" s="1"/>
  <c r="I30" i="2" l="1"/>
  <c r="I31" i="2" s="1"/>
  <c r="I32" i="2" s="1"/>
  <c r="H30" i="2"/>
  <c r="H31" i="2" s="1"/>
  <c r="H32" i="2" s="1"/>
</calcChain>
</file>

<file path=xl/sharedStrings.xml><?xml version="1.0" encoding="utf-8"?>
<sst xmlns="http://schemas.openxmlformats.org/spreadsheetml/2006/main" count="130" uniqueCount="68">
  <si>
    <t>추정손익계산서 — 주요 가정</t>
  </si>
  <si>
    <t>항목</t>
  </si>
  <si>
    <t>값</t>
  </si>
  <si>
    <t>비고</t>
  </si>
  <si>
    <t>매출원가율</t>
  </si>
  <si>
    <t>매출 대비 비율</t>
  </si>
  <si>
    <t>── 판관비 ──</t>
  </si>
  <si>
    <t>전년 대비</t>
  </si>
  <si>
    <t>── 영업외 ──</t>
  </si>
  <si>
    <t>평균 차입이자율</t>
  </si>
  <si>
    <t>── 법인세 ──</t>
  </si>
  <si>
    <t>법인세율</t>
  </si>
  <si>
    <t>과세표준 적용세율</t>
  </si>
  <si>
    <t>전기실적</t>
  </si>
  <si>
    <t>당기실적</t>
  </si>
  <si>
    <t>매출액 합계</t>
  </si>
  <si>
    <t>매출원가 합계</t>
  </si>
  <si>
    <t xml:space="preserve">   매출총이익률</t>
  </si>
  <si>
    <t xml:space="preserve">  인건비</t>
  </si>
  <si>
    <t xml:space="preserve">  감가상각비</t>
  </si>
  <si>
    <t xml:space="preserve">  기타 판관비</t>
  </si>
  <si>
    <t>판관비 합계</t>
  </si>
  <si>
    <t xml:space="preserve">   영업이익률</t>
  </si>
  <si>
    <t xml:space="preserve">  이자수익</t>
  </si>
  <si>
    <t xml:space="preserve">  이자비용</t>
  </si>
  <si>
    <t xml:space="preserve">  기타 영업외</t>
  </si>
  <si>
    <t xml:space="preserve">   순이익률</t>
  </si>
  <si>
    <t>FY2026</t>
    <phoneticPr fontId="2" type="noConversion"/>
  </si>
  <si>
    <t>FY2027</t>
    <phoneticPr fontId="2" type="noConversion"/>
  </si>
  <si>
    <t>FY2028</t>
    <phoneticPr fontId="2" type="noConversion"/>
  </si>
  <si>
    <t>전전기 실적</t>
    <phoneticPr fontId="2" type="noConversion"/>
  </si>
  <si>
    <t>유형자산 투자액 추정</t>
    <phoneticPr fontId="9" type="noConversion"/>
  </si>
  <si>
    <t>원</t>
    <phoneticPr fontId="9" type="noConversion"/>
  </si>
  <si>
    <t>합계</t>
  </si>
  <si>
    <t>FY2026</t>
    <phoneticPr fontId="9" type="noConversion"/>
  </si>
  <si>
    <r>
      <t>추정손익계산서</t>
    </r>
    <r>
      <rPr>
        <b/>
        <sz val="14"/>
        <color rgb="FFFFFFFF"/>
        <rFont val="Noto Sans CJK SC"/>
        <family val="2"/>
      </rPr>
      <t/>
    </r>
    <phoneticPr fontId="2" type="noConversion"/>
  </si>
  <si>
    <t>(단위 : 원)</t>
    <phoneticPr fontId="2" type="noConversion"/>
  </si>
  <si>
    <t>Ⅰ. 매출액</t>
  </si>
  <si>
    <t>Ⅱ. 매출원가</t>
  </si>
  <si>
    <t>Ⅲ. 매출총이익</t>
  </si>
  <si>
    <t>Ⅳ. 판매비와관리비</t>
  </si>
  <si>
    <t>Ⅴ. 영업이익</t>
  </si>
  <si>
    <t>Ⅵ. 영업외수익/비용</t>
  </si>
  <si>
    <t>영업외 합계(순)</t>
  </si>
  <si>
    <t>Ⅶ. 법인세차감전순이익</t>
  </si>
  <si>
    <t>Ⅷ. 법인세비용</t>
  </si>
  <si>
    <t>Ⅸ. 당기순이익</t>
  </si>
  <si>
    <t xml:space="preserve">  제품 매출</t>
    <phoneticPr fontId="2" type="noConversion"/>
  </si>
  <si>
    <t xml:space="preserve">  상품 매출</t>
    <phoneticPr fontId="2" type="noConversion"/>
  </si>
  <si>
    <t xml:space="preserve">  제품매출원가</t>
    <phoneticPr fontId="2" type="noConversion"/>
  </si>
  <si>
    <t xml:space="preserve">  상품매출원가</t>
    <phoneticPr fontId="2" type="noConversion"/>
  </si>
  <si>
    <t xml:space="preserve">  대손상각비</t>
    <phoneticPr fontId="2" type="noConversion"/>
  </si>
  <si>
    <t xml:space="preserve">  지분법손실</t>
    <phoneticPr fontId="2" type="noConversion"/>
  </si>
  <si>
    <t>CAPEX forecast</t>
    <phoneticPr fontId="2" type="noConversion"/>
  </si>
  <si>
    <t>토지</t>
    <phoneticPr fontId="9" type="noConversion"/>
  </si>
  <si>
    <t>건물</t>
    <phoneticPr fontId="2" type="noConversion"/>
  </si>
  <si>
    <t>R&amp;D장비</t>
    <phoneticPr fontId="9" type="noConversion"/>
  </si>
  <si>
    <t>토지/건물 감가상각</t>
    <phoneticPr fontId="9" type="noConversion"/>
  </si>
  <si>
    <t>R&amp;D장비 감가상각</t>
    <phoneticPr fontId="9" type="noConversion"/>
  </si>
  <si>
    <t xml:space="preserve">  인건비성장율</t>
    <phoneticPr fontId="2" type="noConversion"/>
  </si>
  <si>
    <t xml:space="preserve">  감가상각비 성장율</t>
    <phoneticPr fontId="2" type="noConversion"/>
  </si>
  <si>
    <t xml:space="preserve">  기타 판관비 성장율</t>
    <phoneticPr fontId="2" type="noConversion"/>
  </si>
  <si>
    <t>이자율 (차입금)</t>
  </si>
  <si>
    <t xml:space="preserve"> 대손상각비</t>
    <phoneticPr fontId="2" type="noConversion"/>
  </si>
  <si>
    <t>FY2029</t>
    <phoneticPr fontId="2" type="noConversion"/>
  </si>
  <si>
    <t>마스크</t>
    <phoneticPr fontId="2" type="noConversion"/>
  </si>
  <si>
    <t>소재</t>
    <phoneticPr fontId="2" type="noConversion"/>
  </si>
  <si>
    <t>합계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</si>
</sst>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76" formatCode="0.0%"/>
    <numFmt numFmtId="177" formatCode="#,##0;\(#,##0\);\-"/>
    <numFmt numFmtId="178" formatCode="0.0%;\(0.0%\);\-"/>
    <numFmt numFmtId="179" formatCode="_([$€]* #,##0.00_);_([$€]* \(#,##0.00\);_([$€]* &quot;-&quot;??_);_(@_)"/>
    <numFmt numFmtId="180" formatCode="_(* #,##0_);_(* \(#,##0\);_(* &quot;-&quot;_);@_)"/>
  </numFmts>
  <fonts count="28">
    <font>
      <sz val="11"/>
      <color theme="1"/>
      <name val="Calibri"/>
      <family val="2"/>
      <charset val="1"/>
    </font>
    <font>
      <b/>
      <sz val="14"/>
      <color rgb="FFFFFFFF"/>
      <name val="Noto Sans CJK SC"/>
      <family val="2"/>
    </font>
    <font>
      <sz val="8"/>
      <name val="돋움"/>
      <family val="3"/>
      <charset val="129"/>
    </font>
    <font>
      <sz val="11"/>
      <color theme="1"/>
      <name val="Calibri"/>
      <family val="2"/>
      <charset val="1"/>
    </font>
    <font>
      <b/>
      <sz val="11"/>
      <color theme="3"/>
      <name val="맑은 고딕"/>
      <family val="2"/>
      <scheme val="minor"/>
    </font>
    <font>
      <b/>
      <sz val="11"/>
      <color theme="3"/>
      <name val="맑은 고딕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9"/>
      <color theme="3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color rgb="FF1F3864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i/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1"/>
      <color rgb="FF666666"/>
      <name val="맑은 고딕"/>
      <family val="3"/>
      <charset val="129"/>
    </font>
    <font>
      <b/>
      <sz val="11"/>
      <color rgb="FF1F3864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666666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7"/>
        <bgColor rgb="FFBDD7EE"/>
      </patternFill>
    </fill>
    <fill>
      <patternFill patternType="solid">
        <fgColor rgb="FFFFF2CC"/>
        <bgColor rgb="FFFFFFFF"/>
      </patternFill>
    </fill>
    <fill>
      <patternFill patternType="solid">
        <fgColor rgb="FFBDD7EE"/>
        <bgColor rgb="FFD6E4F7"/>
      </patternFill>
    </fill>
    <fill>
      <patternFill patternType="solid">
        <fgColor rgb="FF2E75B6"/>
        <bgColor rgb="FF0066CC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rgb="FF333333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>
      <alignment vertical="center"/>
    </xf>
    <xf numFmtId="179" fontId="4" fillId="0" borderId="0" applyAlignment="0" applyProtection="0"/>
    <xf numFmtId="180" fontId="6" fillId="0" borderId="0"/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50">
    <xf numFmtId="0" fontId="0" fillId="0" borderId="0" xfId="0"/>
    <xf numFmtId="179" fontId="5" fillId="0" borderId="0" xfId="2" applyFont="1"/>
    <xf numFmtId="180" fontId="7" fillId="0" borderId="0" xfId="3" applyFont="1"/>
    <xf numFmtId="180" fontId="8" fillId="7" borderId="0" xfId="3" applyFont="1" applyFill="1"/>
    <xf numFmtId="180" fontId="10" fillId="0" borderId="3" xfId="3" applyFont="1" applyBorder="1"/>
    <xf numFmtId="180" fontId="10" fillId="0" borderId="3" xfId="3" applyFont="1" applyBorder="1" applyAlignment="1">
      <alignment horizontal="center"/>
    </xf>
    <xf numFmtId="180" fontId="7" fillId="8" borderId="0" xfId="3" applyFont="1" applyFill="1"/>
    <xf numFmtId="180" fontId="11" fillId="0" borderId="4" xfId="3" applyFont="1" applyBorder="1"/>
    <xf numFmtId="41" fontId="7" fillId="0" borderId="0" xfId="4" applyFont="1" applyAlignment="1"/>
    <xf numFmtId="43" fontId="7" fillId="0" borderId="0" xfId="4" applyNumberFormat="1" applyFont="1" applyAlignment="1"/>
    <xf numFmtId="0" fontId="12" fillId="0" borderId="0" xfId="0" applyFont="1"/>
    <xf numFmtId="0" fontId="13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/>
    </xf>
    <xf numFmtId="0" fontId="15" fillId="0" borderId="1" xfId="0" applyFont="1" applyBorder="1" applyAlignment="1">
      <alignment horizontal="left" indent="1"/>
    </xf>
    <xf numFmtId="177" fontId="16" fillId="4" borderId="1" xfId="0" applyNumberFormat="1" applyFont="1" applyFill="1" applyBorder="1" applyAlignment="1">
      <alignment horizontal="right"/>
    </xf>
    <xf numFmtId="177" fontId="15" fillId="0" borderId="1" xfId="0" applyNumberFormat="1" applyFont="1" applyBorder="1" applyAlignment="1">
      <alignment horizontal="right"/>
    </xf>
    <xf numFmtId="0" fontId="17" fillId="5" borderId="1" xfId="0" applyFont="1" applyFill="1" applyBorder="1" applyAlignment="1">
      <alignment horizontal="left"/>
    </xf>
    <xf numFmtId="177" fontId="17" fillId="5" borderId="1" xfId="0" applyNumberFormat="1" applyFont="1" applyFill="1" applyBorder="1" applyAlignment="1">
      <alignment horizontal="right"/>
    </xf>
    <xf numFmtId="178" fontId="18" fillId="0" borderId="1" xfId="0" applyNumberFormat="1" applyFont="1" applyBorder="1" applyAlignment="1">
      <alignment horizontal="right"/>
    </xf>
    <xf numFmtId="0" fontId="15" fillId="0" borderId="1" xfId="0" applyFont="1" applyBorder="1" applyAlignment="1">
      <alignment horizontal="left"/>
    </xf>
    <xf numFmtId="0" fontId="19" fillId="6" borderId="1" xfId="0" applyFont="1" applyFill="1" applyBorder="1" applyAlignment="1">
      <alignment horizontal="left"/>
    </xf>
    <xf numFmtId="177" fontId="19" fillId="6" borderId="1" xfId="0" applyNumberFormat="1" applyFont="1" applyFill="1" applyBorder="1" applyAlignment="1">
      <alignment horizontal="right"/>
    </xf>
    <xf numFmtId="0" fontId="24" fillId="0" borderId="0" xfId="0" applyFont="1"/>
    <xf numFmtId="0" fontId="25" fillId="0" borderId="0" xfId="0" applyFont="1"/>
    <xf numFmtId="0" fontId="25" fillId="0" borderId="0" xfId="0" applyFont="1" applyAlignment="1">
      <alignment horizontal="right"/>
    </xf>
    <xf numFmtId="0" fontId="19" fillId="2" borderId="1" xfId="0" applyFont="1" applyFill="1" applyBorder="1" applyAlignment="1">
      <alignment horizontal="center" vertical="center" wrapText="1"/>
    </xf>
    <xf numFmtId="0" fontId="24" fillId="0" borderId="1" xfId="0" applyFont="1" applyBorder="1"/>
    <xf numFmtId="0" fontId="24" fillId="3" borderId="1" xfId="0" applyFont="1" applyFill="1" applyBorder="1"/>
    <xf numFmtId="10" fontId="24" fillId="0" borderId="0" xfId="1" applyNumberFormat="1" applyFont="1" applyAlignment="1"/>
    <xf numFmtId="0" fontId="26" fillId="0" borderId="0" xfId="0" applyFont="1"/>
    <xf numFmtId="0" fontId="16" fillId="0" borderId="0" xfId="0" applyFont="1"/>
    <xf numFmtId="0" fontId="27" fillId="0" borderId="0" xfId="0" applyFont="1"/>
    <xf numFmtId="0" fontId="23" fillId="0" borderId="1" xfId="0" applyFont="1" applyBorder="1" applyAlignment="1">
      <alignment horizontal="left" indent="1"/>
    </xf>
    <xf numFmtId="176" fontId="22" fillId="4" borderId="1" xfId="0" applyNumberFormat="1" applyFont="1" applyFill="1" applyBorder="1" applyAlignment="1">
      <alignment horizontal="right"/>
    </xf>
    <xf numFmtId="0" fontId="20" fillId="0" borderId="0" xfId="0" applyFont="1"/>
    <xf numFmtId="0" fontId="14" fillId="3" borderId="1" xfId="0" applyFont="1" applyFill="1" applyBorder="1" applyAlignment="1">
      <alignment horizontal="center"/>
    </xf>
    <xf numFmtId="0" fontId="21" fillId="3" borderId="2" xfId="0" applyFont="1" applyFill="1" applyBorder="1" applyAlignment="1">
      <alignment horizontal="left" indent="1"/>
    </xf>
    <xf numFmtId="0" fontId="13" fillId="2" borderId="0" xfId="0" applyFont="1" applyFill="1" applyAlignment="1">
      <alignment horizontal="center" vertical="center"/>
    </xf>
    <xf numFmtId="0" fontId="21" fillId="3" borderId="5" xfId="0" applyFont="1" applyFill="1" applyBorder="1" applyAlignment="1">
      <alignment horizontal="left" indent="1"/>
    </xf>
    <xf numFmtId="0" fontId="19" fillId="2" borderId="0" xfId="0" applyFont="1" applyFill="1" applyAlignment="1">
      <alignment horizontal="center" vertical="center"/>
    </xf>
    <xf numFmtId="41" fontId="0" fillId="0" borderId="0" xfId="5" applyFont="1" applyAlignment="1"/>
    <xf numFmtId="41" fontId="0" fillId="0" borderId="0" xfId="0" applyNumberFormat="1"/>
    <xf numFmtId="0" fontId="19" fillId="2" borderId="2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 wrapText="1"/>
    </xf>
    <xf numFmtId="0" fontId="19" fillId="9" borderId="5" xfId="0" applyFont="1" applyFill="1" applyBorder="1" applyAlignment="1">
      <alignment horizontal="center" vertical="center" wrapText="1"/>
    </xf>
    <xf numFmtId="0" fontId="19" fillId="9" borderId="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/>
    </xf>
    <xf numFmtId="0" fontId="24" fillId="0" borderId="0" xfId="0" applyFont="1" applyAlignment="1">
      <alignment horizontal="center"/>
    </xf>
  </cellXfs>
  <cellStyles count="6">
    <cellStyle name="Smart Title" xfId="2" xr:uid="{201FBE0F-A306-4C35-9D64-7E8A89B6C736}"/>
    <cellStyle name="백분율" xfId="1" builtinId="5"/>
    <cellStyle name="쉼표 [0]" xfId="5" builtinId="6"/>
    <cellStyle name="쉼표 [0] 2" xfId="4" xr:uid="{4F448650-B911-430C-B862-4EF19BEB6FBA}"/>
    <cellStyle name="표준" xfId="0" builtinId="0"/>
    <cellStyle name="표준 2" xfId="3" xr:uid="{652D29D6-D6A0-4234-B42A-23D9717A8F5D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4840;1\&#44208;&#49328;98\&#52264;&#51077;&#44552;\&#54217;&#44512;&#52264;&#51077;&#51060;&#51088;&#5098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68;&#47749;&#55148;\LEE\97&#54616;&#48152;&#44592;\9744&#48516;&#44592;\usoa\95&#48372;&#44256;\95&#48708;&#5085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649;&#51228;&#44060;&#54200;.&#51473;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c10678\AppData\Local\Temp\_AZTMP1_\Frontier%20consolidated%20model_03%2030%201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9892;&#49324;\&#51116;&#47924;&#49892;&#49324;\&#50724;&#47532;&#50724;&#49828;&#47700;&#46356;&#52860;\Trendmecca_Valuation_v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olant\Documents%20and%20Settings\hyoungseokna\My%20Documents\&#45236;%20&#50629;&#47924;\&#51088;&#47308;&#49892;\&#50741;&#49496;&#44032;&#52824;\T2%20&#51452;&#49885;&#48372;&#49345;&#48708;&#50857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olant\WINDOWS\TEMP\WINDOWS\TEMP\&#52264;&#51077;&#44552;\&#54217;&#44512;&#52264;&#51077;&#51060;&#51088;&#5098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98(수정)"/>
      <sheetName val="98년"/>
      <sheetName val="97년"/>
      <sheetName val="상황판2data"/>
      <sheetName val="요약PL"/>
      <sheetName val="채권(하반기)"/>
      <sheetName val="13역무손익"/>
      <sheetName val="WTB-BS"/>
      <sheetName val="WTB-IS"/>
      <sheetName val="의왕F사"/>
      <sheetName val="가공사"/>
      <sheetName val="전체유통비용"/>
      <sheetName val="종가"/>
      <sheetName val="가수금대체"/>
      <sheetName val="재무상태표"/>
      <sheetName val="Chunghwa"/>
      <sheetName val="통보"/>
      <sheetName val="방송"/>
      <sheetName val="TC"/>
      <sheetName val="목표검색"/>
      <sheetName val="실적검색"/>
      <sheetName val="월별판매계획(대구)"/>
      <sheetName val="평균차입이자율"/>
      <sheetName val="1호기"/>
      <sheetName val="97원가원료비"/>
      <sheetName val="시산표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업이력"/>
      <sheetName val="작업일정"/>
      <sheetName val="1.수익"/>
      <sheetName val="2.형태별 "/>
      <sheetName val="형태기능조정"/>
      <sheetName val="2.형태원본"/>
      <sheetName val="12역무별비용"/>
      <sheetName val="10영업비용역무별"/>
      <sheetName val="방송조정"/>
      <sheetName val="영업비용원본"/>
      <sheetName val="역무손익요약"/>
      <sheetName val="역무별"/>
      <sheetName val="내부역무손익"/>
      <sheetName val="13역무손익"/>
      <sheetName val="수익인식"/>
      <sheetName val="lead"/>
      <sheetName val="현금과예금(부산)"/>
      <sheetName val="XREF"/>
      <sheetName val="수정시산표"/>
      <sheetName val="118.세금과공과"/>
      <sheetName val="108.수선비"/>
      <sheetName val="F3"/>
      <sheetName val="F12"/>
      <sheetName val="97년"/>
      <sheetName val="F1,2"/>
      <sheetName val="장비내역서"/>
      <sheetName val="기별(종합)"/>
      <sheetName val="95비용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노동부"/>
      <sheetName val="13역무손익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RMT Feeder"/>
      <sheetName val="Pro forma value &gt;&gt;&gt;"/>
      <sheetName val="ValueMath"/>
      <sheetName val="Synergies"/>
      <sheetName val="RMT outputs_Fairness"/>
      <sheetName val="RMT outputs_Board"/>
      <sheetName val="Board - Fariness Recon."/>
      <sheetName val="AVP"/>
      <sheetName val="SOTP"/>
      <sheetName val="Relative value"/>
      <sheetName val="Contribution analysis"/>
      <sheetName val="Pro forma credit &gt;&gt;&gt;"/>
      <sheetName val="PF Capitalization Scenarios"/>
      <sheetName val="NewCo"/>
      <sheetName val="RMT Sum Sheet"/>
      <sheetName val="Credit output"/>
      <sheetName val="Credit output_v2"/>
      <sheetName val="CM model"/>
      <sheetName val="NewCo DCF"/>
      <sheetName val="NewCo DCF output"/>
      <sheetName val="RMT outputs 2"/>
      <sheetName val="DCP &gt;&gt;&gt;"/>
      <sheetName val="DCP Football field - 50%"/>
      <sheetName val="DCP financials - OLD"/>
      <sheetName val="DCP Football field-100%"/>
      <sheetName val="DCP financials - NEW"/>
      <sheetName val="DCP financials output - Olin"/>
      <sheetName val="DCP financials output - DCP mgm"/>
      <sheetName val="DCP DCF"/>
      <sheetName val="DCP DCF output"/>
      <sheetName val="OLN WACC output"/>
      <sheetName val="Valuation&gt;&gt;"/>
      <sheetName val="RMT"/>
      <sheetName val="Ethylene EBITDA DCF"/>
      <sheetName val="Ethylene EBITDA DCF output"/>
      <sheetName val="Shintech DCF"/>
      <sheetName val="Shintech DCF output"/>
      <sheetName val="Mitsui DCF"/>
      <sheetName val="Mitsui DCF output"/>
      <sheetName val="German pension DCF"/>
      <sheetName val="WACC"/>
      <sheetName val="WACC output"/>
      <sheetName val="DCP LBO Feeder"/>
      <sheetName val="LBO"/>
      <sheetName val="LBO Output"/>
      <sheetName val="Sum Sheet"/>
      <sheetName val="Comps backup"/>
      <sheetName val="Ex ratio from MA"/>
      <sheetName val="Comps output"/>
      <sheetName val="Transaction comps"/>
      <sheetName val="DCP comparison"/>
      <sheetName val="DCP DCF comp"/>
      <sheetName val="DMCA &gt;&gt;"/>
      <sheetName val="DMCA feeder"/>
      <sheetName val="DMCA standalone"/>
      <sheetName val="DMCA DCF"/>
      <sheetName val="DMCA DCF output"/>
      <sheetName val="DMCA Football Field"/>
      <sheetName val="Olin &gt;&gt;&gt;"/>
      <sheetName val="OLN Football field"/>
      <sheetName val="OLN feeder"/>
      <sheetName val="Olin standalone"/>
      <sheetName val="OLN DCF"/>
      <sheetName val="OLN DCF output"/>
      <sheetName val="OLN WACC"/>
      <sheetName val="OLN WACC output 2"/>
      <sheetName val="OLN Capitalization"/>
      <sheetName val="Segments &gt;&gt;&gt;"/>
      <sheetName val="Chemicals DCF"/>
      <sheetName val="Chemicals DCF output"/>
      <sheetName val="WIN DCF"/>
      <sheetName val="WIN DCF output"/>
      <sheetName val="WIN WACC"/>
      <sheetName val="WIN WACC output"/>
      <sheetName val="WIN Comps backup "/>
      <sheetName val="OLN DCP comp"/>
      <sheetName val="Ratings-1"/>
      <sheetName val="Ratings-2"/>
      <sheetName val="Bid letter"/>
      <sheetName val="Axiall &gt;&gt;&gt;"/>
      <sheetName val="AXLL RMT"/>
      <sheetName val="AXLL DCF"/>
      <sheetName val="AXLL DF output"/>
      <sheetName val="Benchmarking"/>
      <sheetName val="From Co&gt;&gt;"/>
      <sheetName val="WIN base"/>
      <sheetName val="Chemicals base"/>
      <sheetName val="OLN base"/>
      <sheetName val="OLN downside"/>
      <sheetName val="DCP - Olin base"/>
      <sheetName val="DCP - Olin downside"/>
      <sheetName val="DCP mgmt"/>
      <sheetName val="LTD - OLD"/>
      <sheetName val="LTD2 - OLD"/>
      <sheetName val="DCP input - Olin"/>
      <sheetName val="LTD3"/>
      <sheetName val="OLN DCF - OLD"/>
      <sheetName val="DMCA financials"/>
      <sheetName val="A.1.2a"/>
      <sheetName val="A.1.5"/>
      <sheetName val="DCP DCF - OLD"/>
    </sheetNames>
    <sheetDataSet>
      <sheetData sheetId="0" refreshError="1"/>
      <sheetData sheetId="1" refreshError="1"/>
      <sheetData sheetId="2">
        <row r="31">
          <cell r="M31">
            <v>42087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Info"/>
      <sheetName val="Index"/>
      <sheetName val="Assumption"/>
      <sheetName val="S1"/>
      <sheetName val="현황"/>
      <sheetName val="현황 (2)"/>
      <sheetName val="가정비교"/>
      <sheetName val="매출실적"/>
      <sheetName val="자기자본가치"/>
      <sheetName val="민감도"/>
      <sheetName val="현금흐름"/>
      <sheetName val="매출액"/>
      <sheetName val="매출원가"/>
      <sheetName val="판관비"/>
      <sheetName val="순운전자본"/>
      <sheetName val="유형자산투자"/>
      <sheetName val="S2"/>
      <sheetName val="BS"/>
      <sheetName val="IS"/>
      <sheetName val="MC"/>
      <sheetName val="S3"/>
      <sheetName val="FCF"/>
      <sheetName val="Revenue"/>
      <sheetName val="Cost"/>
      <sheetName val="SG&amp;A"/>
      <sheetName val="NWC"/>
      <sheetName val="CAPEX"/>
      <sheetName val="S4"/>
      <sheetName val="Screening"/>
      <sheetName val="WACC"/>
      <sheetName val="Beta"/>
      <sheetName val="MRP"/>
      <sheetName val="Kd"/>
      <sheetName val="Sheet3"/>
      <sheetName val="인터뷰"/>
      <sheetName val="관세청"/>
      <sheetName val="수정"/>
      <sheetName val="상대가치"/>
    </sheetNames>
    <sheetDataSet>
      <sheetData sheetId="0">
        <row r="3">
          <cell r="D3" t="str">
            <v>Project Stem</v>
          </cell>
        </row>
      </sheetData>
      <sheetData sheetId="1"/>
      <sheetData sheetId="2">
        <row r="27">
          <cell r="E27">
            <v>0.22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7">
          <cell r="B7" t="str">
            <v>다나와</v>
          </cell>
        </row>
      </sheetData>
      <sheetData sheetId="31">
        <row r="5">
          <cell r="C5">
            <v>2.555E-2</v>
          </cell>
        </row>
      </sheetData>
      <sheetData sheetId="32">
        <row r="4">
          <cell r="C4">
            <v>2</v>
          </cell>
        </row>
      </sheetData>
      <sheetData sheetId="33">
        <row r="4">
          <cell r="B4">
            <v>295913</v>
          </cell>
        </row>
      </sheetData>
      <sheetData sheetId="34"/>
      <sheetData sheetId="35"/>
      <sheetData sheetId="36"/>
      <sheetData sheetId="3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용어정리"/>
      <sheetName val="현황"/>
      <sheetName val="2005회계처리"/>
      <sheetName val="계산_pbc"/>
      <sheetName val="내역_pbc"/>
      <sheetName val="주식보상비용 요약"/>
      <sheetName val="주석"/>
      <sheetName val="2004-3분기"/>
      <sheetName val="2004년 반기"/>
      <sheetName val="기존주식보상비용"/>
      <sheetName val="주식보상비용"/>
      <sheetName val="주가변동성"/>
      <sheetName val="주가변동성(기존)"/>
      <sheetName val="주가변동성사례"/>
      <sheetName val="Sheet3"/>
      <sheetName val="지급_pbc"/>
      <sheetName val="주간주가"/>
      <sheetName val="2003년금요일주가"/>
      <sheetName val="2003년주가"/>
      <sheetName val="배당수익율"/>
      <sheetName val="1차분 공정가액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97년"/>
      <sheetName val="98년"/>
      <sheetName val="98년(2)"/>
      <sheetName val="99년"/>
      <sheetName val="99년(여과장님)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zoomScaleNormal="100" workbookViewId="0">
      <selection activeCell="A4" sqref="A4:C4"/>
    </sheetView>
  </sheetViews>
  <sheetFormatPr defaultColWidth="8.6328125" defaultRowHeight="17"/>
  <cols>
    <col min="1" max="1" width="30" style="10" customWidth="1"/>
    <col min="2" max="2" width="14" style="10" customWidth="1"/>
    <col min="3" max="3" width="20" style="10" customWidth="1"/>
    <col min="4" max="16384" width="8.6328125" style="10"/>
  </cols>
  <sheetData>
    <row r="1" spans="1:3" ht="27.75" customHeight="1">
      <c r="A1" s="37" t="s">
        <v>0</v>
      </c>
      <c r="B1" s="37"/>
      <c r="C1" s="37"/>
    </row>
    <row r="2" spans="1:3">
      <c r="A2" s="11" t="s">
        <v>1</v>
      </c>
      <c r="B2" s="11" t="s">
        <v>2</v>
      </c>
      <c r="C2" s="11" t="s">
        <v>3</v>
      </c>
    </row>
    <row r="3" spans="1:3" ht="18" customHeight="1">
      <c r="A3" s="32" t="s">
        <v>4</v>
      </c>
      <c r="B3" s="33">
        <v>0.83</v>
      </c>
      <c r="C3" s="34" t="s">
        <v>5</v>
      </c>
    </row>
    <row r="4" spans="1:3" ht="18" customHeight="1">
      <c r="A4" s="36" t="s">
        <v>6</v>
      </c>
      <c r="B4" s="36"/>
      <c r="C4" s="36"/>
    </row>
    <row r="5" spans="1:3" ht="18" customHeight="1">
      <c r="A5" s="32" t="s">
        <v>59</v>
      </c>
      <c r="B5" s="33">
        <v>0.04</v>
      </c>
      <c r="C5" s="34" t="s">
        <v>7</v>
      </c>
    </row>
    <row r="6" spans="1:3" ht="18" customHeight="1">
      <c r="A6" s="32" t="s">
        <v>60</v>
      </c>
      <c r="B6" s="33">
        <v>0</v>
      </c>
      <c r="C6" s="34" t="s">
        <v>7</v>
      </c>
    </row>
    <row r="7" spans="1:3" ht="18" customHeight="1">
      <c r="A7" s="32" t="s">
        <v>63</v>
      </c>
      <c r="B7" s="33">
        <v>0</v>
      </c>
      <c r="C7" s="34" t="s">
        <v>5</v>
      </c>
    </row>
    <row r="8" spans="1:3" ht="18" customHeight="1">
      <c r="A8" s="32" t="s">
        <v>61</v>
      </c>
      <c r="B8" s="33">
        <v>0.03</v>
      </c>
      <c r="C8" s="34" t="s">
        <v>5</v>
      </c>
    </row>
    <row r="9" spans="1:3" ht="18" customHeight="1">
      <c r="A9" s="36" t="s">
        <v>8</v>
      </c>
      <c r="B9" s="38"/>
      <c r="C9" s="38"/>
    </row>
    <row r="10" spans="1:3" ht="18" customHeight="1">
      <c r="A10" s="32" t="s">
        <v>62</v>
      </c>
      <c r="B10" s="33">
        <v>0.04</v>
      </c>
      <c r="C10" s="34" t="s">
        <v>9</v>
      </c>
    </row>
    <row r="11" spans="1:3" ht="18" customHeight="1">
      <c r="A11" s="36" t="s">
        <v>10</v>
      </c>
      <c r="B11" s="36"/>
      <c r="C11" s="36"/>
    </row>
    <row r="12" spans="1:3" ht="18" customHeight="1">
      <c r="A12" s="32" t="s">
        <v>11</v>
      </c>
      <c r="B12" s="33">
        <v>0.22</v>
      </c>
      <c r="C12" s="34" t="s">
        <v>12</v>
      </c>
    </row>
  </sheetData>
  <mergeCells count="4">
    <mergeCell ref="A11:C11"/>
    <mergeCell ref="A1:C1"/>
    <mergeCell ref="A4:C4"/>
    <mergeCell ref="A9:C9"/>
  </mergeCells>
  <phoneticPr fontId="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116B0-B61F-42C2-B7EC-5E276A95F1BE}">
  <dimension ref="A1"/>
  <sheetViews>
    <sheetView workbookViewId="0">
      <selection activeCell="A4" sqref="A4:C4"/>
    </sheetView>
  </sheetViews>
  <sheetFormatPr defaultRowHeight="14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7"/>
  <sheetViews>
    <sheetView zoomScaleNormal="100" workbookViewId="0">
      <pane xSplit="2" ySplit="3" topLeftCell="C4" activePane="bottomRight" state="frozen"/>
      <selection activeCell="A4" sqref="A4:C4"/>
      <selection pane="topRight" activeCell="A4" sqref="A4:C4"/>
      <selection pane="bottomLeft" activeCell="A4" sqref="A4:C4"/>
      <selection pane="bottomRight" activeCell="A4" sqref="A4:C4"/>
    </sheetView>
  </sheetViews>
  <sheetFormatPr defaultColWidth="8.6328125" defaultRowHeight="16"/>
  <cols>
    <col min="1" max="1" width="3" style="22" customWidth="1"/>
    <col min="2" max="2" width="28" style="22" customWidth="1"/>
    <col min="3" max="9" width="16.6328125" style="22" customWidth="1"/>
    <col min="10" max="13" width="8.6328125" style="22"/>
    <col min="14" max="14" width="11.36328125" style="22" bestFit="1" customWidth="1"/>
    <col min="15" max="16384" width="8.6328125" style="22"/>
  </cols>
  <sheetData>
    <row r="1" spans="1:9" ht="30" customHeight="1">
      <c r="B1" s="39" t="s">
        <v>35</v>
      </c>
      <c r="C1" s="39"/>
      <c r="D1" s="39"/>
      <c r="E1" s="39"/>
      <c r="F1" s="39"/>
      <c r="G1" s="39"/>
      <c r="H1" s="39"/>
      <c r="I1" s="39"/>
    </row>
    <row r="2" spans="1:9">
      <c r="B2" s="23"/>
      <c r="C2" s="23"/>
      <c r="D2" s="23"/>
      <c r="E2" s="23"/>
      <c r="F2" s="23"/>
      <c r="G2" s="23"/>
      <c r="H2" s="23"/>
      <c r="I2" s="24" t="s">
        <v>36</v>
      </c>
    </row>
    <row r="3" spans="1:9" ht="36" customHeight="1">
      <c r="B3" s="25" t="s">
        <v>1</v>
      </c>
      <c r="C3" s="25" t="s">
        <v>30</v>
      </c>
      <c r="D3" s="25" t="s">
        <v>13</v>
      </c>
      <c r="E3" s="25" t="s">
        <v>14</v>
      </c>
      <c r="F3" s="25" t="s">
        <v>27</v>
      </c>
      <c r="G3" s="25" t="s">
        <v>28</v>
      </c>
      <c r="H3" s="25" t="s">
        <v>29</v>
      </c>
      <c r="I3" s="25" t="s">
        <v>29</v>
      </c>
    </row>
    <row r="4" spans="1:9" ht="18.75" customHeight="1">
      <c r="A4" s="26"/>
      <c r="B4" s="12" t="s">
        <v>37</v>
      </c>
      <c r="C4" s="12"/>
      <c r="D4" s="27"/>
      <c r="E4" s="27"/>
      <c r="F4" s="27"/>
      <c r="G4" s="27"/>
      <c r="H4" s="27"/>
      <c r="I4" s="27"/>
    </row>
    <row r="5" spans="1:9" ht="18.75" customHeight="1">
      <c r="A5" s="26"/>
      <c r="B5" s="13" t="s">
        <v>47</v>
      </c>
      <c r="C5" s="14">
        <v>20152225789</v>
      </c>
      <c r="D5" s="14">
        <v>23676781081</v>
      </c>
      <c r="E5" s="14">
        <v>17908418139</v>
      </c>
      <c r="F5" s="15">
        <v>25000000000</v>
      </c>
      <c r="G5" s="15">
        <v>30000000000</v>
      </c>
      <c r="H5" s="15">
        <v>35000000000</v>
      </c>
      <c r="I5" s="15">
        <v>40000000000</v>
      </c>
    </row>
    <row r="6" spans="1:9" ht="18.75" customHeight="1">
      <c r="A6" s="26"/>
      <c r="B6" s="13" t="s">
        <v>48</v>
      </c>
      <c r="C6" s="14">
        <f>35986309772-20152225789</f>
        <v>15834083983</v>
      </c>
      <c r="D6" s="14">
        <v>16182176623</v>
      </c>
      <c r="E6" s="14">
        <f>1493030277+15656994948</f>
        <v>17150025225</v>
      </c>
      <c r="F6" s="15">
        <v>15000000000</v>
      </c>
      <c r="G6" s="15">
        <v>22000000000</v>
      </c>
      <c r="H6" s="15">
        <v>25000000000</v>
      </c>
      <c r="I6" s="15">
        <v>30000000000</v>
      </c>
    </row>
    <row r="7" spans="1:9" ht="18.75" customHeight="1">
      <c r="A7" s="26"/>
      <c r="B7" s="16" t="s">
        <v>15</v>
      </c>
      <c r="C7" s="17">
        <f t="shared" ref="C7:I7" si="0">SUM(C5:C6)</f>
        <v>35986309772</v>
      </c>
      <c r="D7" s="17">
        <f t="shared" si="0"/>
        <v>39858957704</v>
      </c>
      <c r="E7" s="17">
        <f t="shared" si="0"/>
        <v>35058443364</v>
      </c>
      <c r="F7" s="17">
        <f t="shared" si="0"/>
        <v>40000000000</v>
      </c>
      <c r="G7" s="17">
        <f t="shared" si="0"/>
        <v>52000000000</v>
      </c>
      <c r="H7" s="17">
        <f t="shared" si="0"/>
        <v>60000000000</v>
      </c>
      <c r="I7" s="17">
        <f t="shared" si="0"/>
        <v>70000000000</v>
      </c>
    </row>
    <row r="8" spans="1:9" ht="18.75" customHeight="1">
      <c r="A8" s="26"/>
      <c r="B8" s="12" t="s">
        <v>38</v>
      </c>
      <c r="C8" s="27"/>
      <c r="D8" s="27"/>
      <c r="E8" s="27"/>
      <c r="F8" s="27"/>
      <c r="G8" s="27"/>
      <c r="H8" s="27"/>
      <c r="I8" s="27"/>
    </row>
    <row r="9" spans="1:9" ht="18.75" customHeight="1">
      <c r="A9" s="26"/>
      <c r="B9" s="13" t="s">
        <v>49</v>
      </c>
      <c r="C9" s="14">
        <v>18513911076</v>
      </c>
      <c r="D9" s="14">
        <v>23077354259</v>
      </c>
      <c r="E9" s="14">
        <v>18079823647</v>
      </c>
      <c r="F9" s="15">
        <f>F5*가정!$B$3</f>
        <v>20750000000</v>
      </c>
      <c r="G9" s="15">
        <f>G5*가정!$B$3</f>
        <v>24900000000</v>
      </c>
      <c r="H9" s="15">
        <f>H5*가정!$B$3</f>
        <v>29050000000</v>
      </c>
      <c r="I9" s="15">
        <f>I5*가정!$B$3</f>
        <v>33200000000</v>
      </c>
    </row>
    <row r="10" spans="1:9" ht="18.75" customHeight="1">
      <c r="A10" s="26"/>
      <c r="B10" s="13" t="s">
        <v>50</v>
      </c>
      <c r="C10" s="14">
        <v>14074892199</v>
      </c>
      <c r="D10" s="14">
        <v>12739722350</v>
      </c>
      <c r="E10" s="14">
        <v>13194442088</v>
      </c>
      <c r="F10" s="15">
        <f>F6*가정!$B$3</f>
        <v>12450000000</v>
      </c>
      <c r="G10" s="15">
        <f>G6*가정!$B$3</f>
        <v>18260000000</v>
      </c>
      <c r="H10" s="15">
        <f>H6*가정!$B$3</f>
        <v>20750000000</v>
      </c>
      <c r="I10" s="15">
        <f>I6*가정!$B$3</f>
        <v>24900000000</v>
      </c>
    </row>
    <row r="11" spans="1:9" ht="18.75" customHeight="1">
      <c r="A11" s="26"/>
      <c r="B11" s="16" t="s">
        <v>16</v>
      </c>
      <c r="C11" s="17">
        <f t="shared" ref="C11:I11" si="1">SUM(C9:C10)</f>
        <v>32588803275</v>
      </c>
      <c r="D11" s="17">
        <f t="shared" si="1"/>
        <v>35817076609</v>
      </c>
      <c r="E11" s="17">
        <f t="shared" si="1"/>
        <v>31274265735</v>
      </c>
      <c r="F11" s="17">
        <f t="shared" si="1"/>
        <v>33200000000</v>
      </c>
      <c r="G11" s="17">
        <f t="shared" si="1"/>
        <v>43160000000</v>
      </c>
      <c r="H11" s="17">
        <f t="shared" si="1"/>
        <v>49800000000</v>
      </c>
      <c r="I11" s="17">
        <f t="shared" si="1"/>
        <v>58100000000</v>
      </c>
    </row>
    <row r="12" spans="1:9" ht="18.75" customHeight="1">
      <c r="A12" s="26"/>
      <c r="B12" s="16" t="s">
        <v>39</v>
      </c>
      <c r="C12" s="17">
        <f t="shared" ref="C12:I12" si="2">C7-C11</f>
        <v>3397506497</v>
      </c>
      <c r="D12" s="17">
        <f t="shared" si="2"/>
        <v>4041881095</v>
      </c>
      <c r="E12" s="17">
        <f t="shared" si="2"/>
        <v>3784177629</v>
      </c>
      <c r="F12" s="17">
        <f t="shared" si="2"/>
        <v>6800000000</v>
      </c>
      <c r="G12" s="17">
        <f t="shared" si="2"/>
        <v>8840000000</v>
      </c>
      <c r="H12" s="17">
        <f t="shared" si="2"/>
        <v>10200000000</v>
      </c>
      <c r="I12" s="17">
        <f t="shared" si="2"/>
        <v>11900000000</v>
      </c>
    </row>
    <row r="13" spans="1:9" ht="18.75" customHeight="1">
      <c r="A13" s="26"/>
      <c r="B13" s="13" t="s">
        <v>17</v>
      </c>
      <c r="C13" s="18">
        <f t="shared" ref="C13:I13" si="3">IFERROR(C12/C7,0)</f>
        <v>9.4411083507192795E-2</v>
      </c>
      <c r="D13" s="18">
        <f t="shared" si="3"/>
        <v>0.10140458576503072</v>
      </c>
      <c r="E13" s="18">
        <f t="shared" si="3"/>
        <v>0.10793912295848847</v>
      </c>
      <c r="F13" s="18">
        <f t="shared" si="3"/>
        <v>0.17</v>
      </c>
      <c r="G13" s="18">
        <f t="shared" si="3"/>
        <v>0.17</v>
      </c>
      <c r="H13" s="18">
        <f t="shared" si="3"/>
        <v>0.17</v>
      </c>
      <c r="I13" s="18">
        <f t="shared" si="3"/>
        <v>0.17</v>
      </c>
    </row>
    <row r="14" spans="1:9" ht="18.75" customHeight="1">
      <c r="A14" s="26"/>
      <c r="B14" s="12" t="s">
        <v>40</v>
      </c>
      <c r="C14" s="27"/>
      <c r="D14" s="27"/>
      <c r="E14" s="27"/>
      <c r="F14" s="27"/>
      <c r="G14" s="27"/>
      <c r="H14" s="27"/>
      <c r="I14" s="27"/>
    </row>
    <row r="15" spans="1:9" ht="18.75" customHeight="1">
      <c r="A15" s="26"/>
      <c r="B15" s="13" t="s">
        <v>18</v>
      </c>
      <c r="C15" s="14">
        <f>416282687+286041961+6403537+64419509</f>
        <v>773147694</v>
      </c>
      <c r="D15" s="14">
        <v>913927002</v>
      </c>
      <c r="E15" s="14">
        <v>1277062518</v>
      </c>
      <c r="F15" s="15">
        <f>E15*(1+가정!$B$5)</f>
        <v>1328145018.72</v>
      </c>
      <c r="G15" s="15">
        <f>F15*(1+가정!$B$5)</f>
        <v>1381270819.4688001</v>
      </c>
      <c r="H15" s="15">
        <f>G15*(1+가정!$B$5)</f>
        <v>1436521652.2475522</v>
      </c>
      <c r="I15" s="15">
        <f>H15*(1+가정!$B$5)</f>
        <v>1493982518.3374543</v>
      </c>
    </row>
    <row r="16" spans="1:9" ht="18.75" customHeight="1">
      <c r="A16" s="26"/>
      <c r="B16" s="13" t="s">
        <v>19</v>
      </c>
      <c r="C16" s="14">
        <f>126432156+358124</f>
        <v>126790280</v>
      </c>
      <c r="D16" s="14">
        <v>129525863</v>
      </c>
      <c r="E16" s="14">
        <v>195014933</v>
      </c>
      <c r="F16" s="15">
        <f>$E$16+CAPEX!C14+CAPEX!C15</f>
        <v>320014933</v>
      </c>
      <c r="G16" s="15">
        <f>$E$16+CAPEX!D14+CAPEX!D15</f>
        <v>370014933</v>
      </c>
      <c r="H16" s="15">
        <f>$E$16+CAPEX!E14+CAPEX!E15</f>
        <v>420014933</v>
      </c>
      <c r="I16" s="15">
        <f>$E$16+CAPEX!F14+CAPEX!F15</f>
        <v>420014933</v>
      </c>
    </row>
    <row r="17" spans="1:12" ht="18.75" customHeight="1">
      <c r="A17" s="26"/>
      <c r="B17" s="13" t="s">
        <v>51</v>
      </c>
      <c r="C17" s="14"/>
      <c r="D17" s="14"/>
      <c r="E17" s="14">
        <v>6369547050</v>
      </c>
      <c r="F17" s="15"/>
      <c r="G17" s="15"/>
      <c r="H17" s="15"/>
      <c r="I17" s="15"/>
    </row>
    <row r="18" spans="1:12" ht="18.75" customHeight="1">
      <c r="A18" s="26"/>
      <c r="B18" s="13" t="s">
        <v>20</v>
      </c>
      <c r="C18" s="15">
        <f>1500542911-C15-C16</f>
        <v>600604937</v>
      </c>
      <c r="D18" s="15">
        <v>940633588</v>
      </c>
      <c r="E18" s="15">
        <v>1132691907</v>
      </c>
      <c r="F18" s="15">
        <f>F7*가정!$B$8</f>
        <v>1200000000</v>
      </c>
      <c r="G18" s="15">
        <f>G7*가정!$B$8</f>
        <v>1560000000</v>
      </c>
      <c r="H18" s="15">
        <f>H7*가정!$B$8</f>
        <v>1800000000</v>
      </c>
      <c r="I18" s="15">
        <f>I7*가정!$B$8</f>
        <v>2100000000</v>
      </c>
      <c r="J18" s="28"/>
      <c r="K18" s="28"/>
      <c r="L18" s="28"/>
    </row>
    <row r="19" spans="1:12" ht="18.75" customHeight="1">
      <c r="A19" s="26"/>
      <c r="B19" s="16" t="s">
        <v>21</v>
      </c>
      <c r="C19" s="17">
        <f t="shared" ref="C19:I19" si="4">SUM(C15:C18)</f>
        <v>1500542911</v>
      </c>
      <c r="D19" s="17">
        <f t="shared" si="4"/>
        <v>1984086453</v>
      </c>
      <c r="E19" s="17">
        <f t="shared" si="4"/>
        <v>8974316408</v>
      </c>
      <c r="F19" s="17">
        <f t="shared" si="4"/>
        <v>2848159951.7200003</v>
      </c>
      <c r="G19" s="17">
        <f t="shared" si="4"/>
        <v>3311285752.4688001</v>
      </c>
      <c r="H19" s="17">
        <f t="shared" si="4"/>
        <v>3656536585.2475519</v>
      </c>
      <c r="I19" s="17">
        <f t="shared" si="4"/>
        <v>4013997451.3374543</v>
      </c>
    </row>
    <row r="20" spans="1:12" ht="18.75" customHeight="1">
      <c r="A20" s="26"/>
      <c r="B20" s="16" t="s">
        <v>41</v>
      </c>
      <c r="C20" s="17">
        <f t="shared" ref="C20:I20" si="5">C12-C19</f>
        <v>1896963586</v>
      </c>
      <c r="D20" s="17">
        <f t="shared" si="5"/>
        <v>2057794642</v>
      </c>
      <c r="E20" s="17">
        <f t="shared" si="5"/>
        <v>-5190138779</v>
      </c>
      <c r="F20" s="17">
        <f>F12-F19</f>
        <v>3951840048.2799997</v>
      </c>
      <c r="G20" s="17">
        <f t="shared" si="5"/>
        <v>5528714247.5312004</v>
      </c>
      <c r="H20" s="17">
        <f t="shared" si="5"/>
        <v>6543463414.7524481</v>
      </c>
      <c r="I20" s="17">
        <f t="shared" si="5"/>
        <v>7886002548.6625462</v>
      </c>
    </row>
    <row r="21" spans="1:12" ht="18.75" customHeight="1">
      <c r="A21" s="26"/>
      <c r="B21" s="13" t="s">
        <v>22</v>
      </c>
      <c r="C21" s="18">
        <f t="shared" ref="C21:I21" si="6">IFERROR(C20/C7,0)</f>
        <v>5.2713479042965874E-2</v>
      </c>
      <c r="D21" s="18">
        <f t="shared" si="6"/>
        <v>5.1626905482114308E-2</v>
      </c>
      <c r="E21" s="18">
        <f t="shared" si="6"/>
        <v>-0.14804247653304337</v>
      </c>
      <c r="F21" s="18">
        <f t="shared" si="6"/>
        <v>9.8796001206999995E-2</v>
      </c>
      <c r="G21" s="18">
        <f t="shared" si="6"/>
        <v>0.10632142783713847</v>
      </c>
      <c r="H21" s="18">
        <f t="shared" si="6"/>
        <v>0.10905772357920747</v>
      </c>
      <c r="I21" s="18">
        <f t="shared" si="6"/>
        <v>0.1126571792666078</v>
      </c>
    </row>
    <row r="22" spans="1:12" ht="18.75" customHeight="1">
      <c r="A22" s="26"/>
      <c r="B22" s="12" t="s">
        <v>42</v>
      </c>
      <c r="C22" s="27"/>
      <c r="D22" s="27"/>
      <c r="E22" s="27"/>
      <c r="F22" s="27"/>
      <c r="G22" s="27"/>
      <c r="H22" s="27"/>
      <c r="I22" s="27"/>
    </row>
    <row r="23" spans="1:12" ht="18.75" customHeight="1">
      <c r="A23" s="26"/>
      <c r="B23" s="13" t="s">
        <v>23</v>
      </c>
      <c r="C23" s="14">
        <v>2307828</v>
      </c>
      <c r="D23" s="14">
        <v>9969973</v>
      </c>
      <c r="E23" s="14">
        <v>2015305</v>
      </c>
      <c r="F23" s="15">
        <f>E23</f>
        <v>2015305</v>
      </c>
      <c r="G23" s="15">
        <f>E23</f>
        <v>2015305</v>
      </c>
      <c r="H23" s="15">
        <f t="shared" ref="H23:I26" si="7">G23</f>
        <v>2015305</v>
      </c>
      <c r="I23" s="15">
        <f t="shared" si="7"/>
        <v>2015305</v>
      </c>
    </row>
    <row r="24" spans="1:12" ht="18.75" customHeight="1">
      <c r="A24" s="26"/>
      <c r="B24" s="13" t="s">
        <v>52</v>
      </c>
      <c r="C24" s="14"/>
      <c r="D24" s="14"/>
      <c r="E24" s="14">
        <v>-1864477018</v>
      </c>
      <c r="F24" s="15">
        <v>381870306.48831397</v>
      </c>
      <c r="G24" s="15">
        <v>381870306.48831397</v>
      </c>
      <c r="H24" s="15">
        <f>G24</f>
        <v>381870306.48831397</v>
      </c>
      <c r="I24" s="15">
        <f>H24</f>
        <v>381870306.48831397</v>
      </c>
    </row>
    <row r="25" spans="1:12" ht="18.75" customHeight="1">
      <c r="A25" s="26"/>
      <c r="B25" s="13" t="s">
        <v>51</v>
      </c>
      <c r="C25" s="14"/>
      <c r="D25" s="14"/>
      <c r="E25" s="14">
        <v>-450000000</v>
      </c>
      <c r="F25" s="15"/>
      <c r="G25" s="15"/>
      <c r="H25" s="15"/>
      <c r="I25" s="15"/>
    </row>
    <row r="26" spans="1:12" ht="18.75" customHeight="1">
      <c r="A26" s="26"/>
      <c r="B26" s="13" t="s">
        <v>24</v>
      </c>
      <c r="C26" s="14">
        <v>-562203615</v>
      </c>
      <c r="D26" s="14">
        <v>-888960220</v>
      </c>
      <c r="E26" s="14">
        <v>-851483342</v>
      </c>
      <c r="F26" s="15">
        <f>E26-200000000</f>
        <v>-1051483342</v>
      </c>
      <c r="G26" s="15">
        <f>F26</f>
        <v>-1051483342</v>
      </c>
      <c r="H26" s="15">
        <f t="shared" si="7"/>
        <v>-1051483342</v>
      </c>
      <c r="I26" s="15">
        <f t="shared" si="7"/>
        <v>-1051483342</v>
      </c>
    </row>
    <row r="27" spans="1:12" ht="18.75" customHeight="1">
      <c r="A27" s="26"/>
      <c r="B27" s="13" t="s">
        <v>25</v>
      </c>
      <c r="C27" s="14">
        <f>C28-SUM(C23:C26)</f>
        <v>-26716447</v>
      </c>
      <c r="D27" s="14">
        <f t="shared" ref="D27:E27" si="8">D28-SUM(D23:D26)</f>
        <v>930203791</v>
      </c>
      <c r="E27" s="14">
        <f t="shared" si="8"/>
        <v>63375607</v>
      </c>
      <c r="F27" s="15">
        <f>E27</f>
        <v>63375607</v>
      </c>
      <c r="G27" s="15">
        <f>E27</f>
        <v>63375607</v>
      </c>
      <c r="H27" s="15">
        <f>G27</f>
        <v>63375607</v>
      </c>
      <c r="I27" s="15">
        <f>H27</f>
        <v>63375607</v>
      </c>
    </row>
    <row r="28" spans="1:12" ht="18.75" customHeight="1">
      <c r="A28" s="26"/>
      <c r="B28" s="16" t="s">
        <v>43</v>
      </c>
      <c r="C28" s="17">
        <f>230982834-817595068</f>
        <v>-586612234</v>
      </c>
      <c r="D28" s="17">
        <f>1239933538-1188719994</f>
        <v>51213544</v>
      </c>
      <c r="E28" s="17">
        <f>424082271-3524651719</f>
        <v>-3100569448</v>
      </c>
      <c r="F28" s="17">
        <f>SUM(F23:F27)</f>
        <v>-604222123.51168609</v>
      </c>
      <c r="G28" s="17">
        <f>SUM(G23:G27)</f>
        <v>-604222123.51168609</v>
      </c>
      <c r="H28" s="17">
        <f>SUM(H23:H27)</f>
        <v>-604222123.51168609</v>
      </c>
      <c r="I28" s="17">
        <f>SUM(I23:I27)</f>
        <v>-604222123.51168609</v>
      </c>
    </row>
    <row r="29" spans="1:12" ht="18.75" customHeight="1">
      <c r="A29" s="26"/>
      <c r="B29" s="16" t="s">
        <v>44</v>
      </c>
      <c r="C29" s="17">
        <f t="shared" ref="C29:I29" si="9">C20+C28</f>
        <v>1310351352</v>
      </c>
      <c r="D29" s="17">
        <f t="shared" si="9"/>
        <v>2109008186</v>
      </c>
      <c r="E29" s="17">
        <f t="shared" si="9"/>
        <v>-8290708227</v>
      </c>
      <c r="F29" s="17">
        <f t="shared" si="9"/>
        <v>3347617924.7683134</v>
      </c>
      <c r="G29" s="17">
        <f t="shared" si="9"/>
        <v>4924492124.0195141</v>
      </c>
      <c r="H29" s="17">
        <f t="shared" si="9"/>
        <v>5939241291.2407618</v>
      </c>
      <c r="I29" s="17">
        <f t="shared" si="9"/>
        <v>7281780425.1508598</v>
      </c>
    </row>
    <row r="30" spans="1:12" ht="18.75" customHeight="1">
      <c r="A30" s="26"/>
      <c r="B30" s="19" t="s">
        <v>45</v>
      </c>
      <c r="C30" s="15">
        <v>208456787</v>
      </c>
      <c r="D30" s="15">
        <v>496600138</v>
      </c>
      <c r="E30" s="15">
        <v>78338542</v>
      </c>
      <c r="F30" s="15">
        <f>MAX(F29*가정!$B$12,0)</f>
        <v>736475943.44902897</v>
      </c>
      <c r="G30" s="15">
        <f>MAX(G29*가정!$B$12,0)</f>
        <v>1083388267.2842932</v>
      </c>
      <c r="H30" s="15">
        <f>MAX(H29*가정!$B$12,0)</f>
        <v>1306633084.0729675</v>
      </c>
      <c r="I30" s="15">
        <f>MAX(I29*가정!$B$12,0)</f>
        <v>1601991693.5331891</v>
      </c>
    </row>
    <row r="31" spans="1:12" ht="18.75" customHeight="1">
      <c r="A31" s="26"/>
      <c r="B31" s="20" t="s">
        <v>46</v>
      </c>
      <c r="C31" s="21">
        <f t="shared" ref="C31:I31" si="10">C29-C30</f>
        <v>1101894565</v>
      </c>
      <c r="D31" s="21">
        <f t="shared" si="10"/>
        <v>1612408048</v>
      </c>
      <c r="E31" s="21">
        <f t="shared" si="10"/>
        <v>-8369046769</v>
      </c>
      <c r="F31" s="21">
        <f>F29-F30</f>
        <v>2611141981.3192844</v>
      </c>
      <c r="G31" s="21">
        <f t="shared" si="10"/>
        <v>3841103856.7352209</v>
      </c>
      <c r="H31" s="21">
        <f t="shared" si="10"/>
        <v>4632608207.1677942</v>
      </c>
      <c r="I31" s="21">
        <f t="shared" si="10"/>
        <v>5679788731.617671</v>
      </c>
    </row>
    <row r="32" spans="1:12" ht="18.75" customHeight="1">
      <c r="A32" s="26"/>
      <c r="B32" s="13" t="s">
        <v>26</v>
      </c>
      <c r="C32" s="18">
        <f t="shared" ref="C32:I32" si="11">IFERROR(C31/C7,0)</f>
        <v>3.0619826594650033E-2</v>
      </c>
      <c r="D32" s="18">
        <f t="shared" si="11"/>
        <v>4.0452840236667523E-2</v>
      </c>
      <c r="E32" s="18">
        <f t="shared" si="11"/>
        <v>-0.2387170098257646</v>
      </c>
      <c r="F32" s="18">
        <f t="shared" si="11"/>
        <v>6.5278549532982108E-2</v>
      </c>
      <c r="G32" s="18">
        <f t="shared" si="11"/>
        <v>7.3867381860292708E-2</v>
      </c>
      <c r="H32" s="18">
        <f t="shared" si="11"/>
        <v>7.721013678612991E-2</v>
      </c>
      <c r="I32" s="18">
        <f t="shared" si="11"/>
        <v>8.1139839023109589E-2</v>
      </c>
    </row>
    <row r="34" spans="2:4">
      <c r="B34" s="29"/>
      <c r="C34" s="29"/>
    </row>
    <row r="35" spans="2:4">
      <c r="B35" s="30"/>
      <c r="C35" s="30"/>
      <c r="D35" s="31"/>
    </row>
    <row r="36" spans="2:4">
      <c r="B36" s="30"/>
      <c r="C36" s="30"/>
      <c r="D36" s="31"/>
    </row>
    <row r="37" spans="2:4">
      <c r="B37" s="30"/>
      <c r="C37" s="30"/>
      <c r="D37" s="31"/>
    </row>
  </sheetData>
  <mergeCells count="1">
    <mergeCell ref="B1:I1"/>
  </mergeCells>
  <phoneticPr fontId="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8CC07-7DE7-4427-BF1E-25D8F7D7D6A5}">
  <sheetPr>
    <pageSetUpPr fitToPage="1"/>
  </sheetPr>
  <dimension ref="B1:F16"/>
  <sheetViews>
    <sheetView showGridLines="0" zoomScale="80" zoomScaleNormal="80" workbookViewId="0">
      <selection activeCell="A4" sqref="A4:C4"/>
    </sheetView>
  </sheetViews>
  <sheetFormatPr defaultColWidth="8.1796875" defaultRowHeight="14.5"/>
  <cols>
    <col min="1" max="1" width="2.36328125" style="2" customWidth="1"/>
    <col min="2" max="6" width="18.7265625" style="2" customWidth="1"/>
    <col min="7" max="7" width="14.1796875" style="2" bestFit="1" customWidth="1"/>
    <col min="8" max="8" width="17" style="2" bestFit="1" customWidth="1"/>
    <col min="9" max="11" width="14.1796875" style="2" bestFit="1" customWidth="1"/>
    <col min="12" max="13" width="12.6328125" style="2" bestFit="1" customWidth="1"/>
    <col min="14" max="15" width="3.54296875" style="2" bestFit="1" customWidth="1"/>
    <col min="16" max="16" width="15.1796875" style="2" bestFit="1" customWidth="1"/>
    <col min="17" max="16384" width="8.1796875" style="2"/>
  </cols>
  <sheetData>
    <row r="1" spans="2:6" ht="17">
      <c r="B1" s="1" t="s">
        <v>53</v>
      </c>
    </row>
    <row r="3" spans="2:6">
      <c r="B3" s="3" t="s">
        <v>31</v>
      </c>
      <c r="C3" s="3"/>
      <c r="D3" s="3"/>
      <c r="E3" s="3"/>
      <c r="F3" s="3"/>
    </row>
    <row r="5" spans="2:6" ht="15" thickBot="1">
      <c r="B5" s="4" t="s">
        <v>32</v>
      </c>
      <c r="C5" s="5" t="s">
        <v>34</v>
      </c>
      <c r="D5" s="5" t="s">
        <v>28</v>
      </c>
      <c r="E5" s="5" t="s">
        <v>29</v>
      </c>
      <c r="F5" s="5" t="s">
        <v>64</v>
      </c>
    </row>
    <row r="6" spans="2:6">
      <c r="B6" s="2" t="s">
        <v>56</v>
      </c>
      <c r="C6" s="6"/>
      <c r="D6" s="6">
        <v>500000000</v>
      </c>
      <c r="E6" s="6">
        <v>500000000</v>
      </c>
      <c r="F6" s="6"/>
    </row>
    <row r="7" spans="2:6">
      <c r="B7" s="2" t="s">
        <v>54</v>
      </c>
      <c r="C7" s="6">
        <v>6000000000</v>
      </c>
      <c r="D7" s="6"/>
      <c r="E7" s="6"/>
      <c r="F7" s="6"/>
    </row>
    <row r="8" spans="2:6">
      <c r="B8" s="2" t="s">
        <v>55</v>
      </c>
      <c r="C8" s="6">
        <v>5000000000</v>
      </c>
      <c r="D8" s="6"/>
      <c r="E8" s="6"/>
      <c r="F8" s="6"/>
    </row>
    <row r="9" spans="2:6">
      <c r="C9" s="6"/>
      <c r="D9" s="6"/>
      <c r="E9" s="6"/>
      <c r="F9" s="6"/>
    </row>
    <row r="10" spans="2:6">
      <c r="C10" s="6"/>
      <c r="D10" s="6"/>
      <c r="E10" s="6"/>
      <c r="F10" s="6"/>
    </row>
    <row r="11" spans="2:6" ht="15" thickBot="1">
      <c r="B11" s="7" t="s">
        <v>33</v>
      </c>
      <c r="C11" s="7">
        <f>SUM(C6:C10)</f>
        <v>11000000000</v>
      </c>
      <c r="D11" s="7">
        <f>SUM(D6:D10)</f>
        <v>500000000</v>
      </c>
      <c r="E11" s="7">
        <f>SUM(E6:E10)</f>
        <v>500000000</v>
      </c>
      <c r="F11" s="7">
        <f>SUM(F6:F10)</f>
        <v>0</v>
      </c>
    </row>
    <row r="14" spans="2:6">
      <c r="B14" s="2" t="s">
        <v>58</v>
      </c>
      <c r="D14" s="2">
        <f>D6/10</f>
        <v>50000000</v>
      </c>
      <c r="E14" s="2">
        <f>(D6+E6)/10</f>
        <v>100000000</v>
      </c>
      <c r="F14" s="2">
        <f>E14</f>
        <v>100000000</v>
      </c>
    </row>
    <row r="15" spans="2:6">
      <c r="B15" s="2" t="s">
        <v>57</v>
      </c>
      <c r="C15" s="2">
        <f>C8/40</f>
        <v>125000000</v>
      </c>
      <c r="D15" s="2">
        <f>C15</f>
        <v>125000000</v>
      </c>
      <c r="E15" s="2">
        <f>D15</f>
        <v>125000000</v>
      </c>
      <c r="F15" s="2">
        <f>E15</f>
        <v>125000000</v>
      </c>
    </row>
    <row r="16" spans="2:6">
      <c r="C16" s="9">
        <f>D16/2</f>
        <v>0</v>
      </c>
      <c r="D16" s="8"/>
      <c r="E16" s="8"/>
      <c r="F16" s="8"/>
    </row>
  </sheetData>
  <phoneticPr fontId="2" type="noConversion"/>
  <pageMargins left="0.6" right="0.6" top="1" bottom="1" header="0.5" footer="0.5"/>
  <pageSetup paperSize="9" scale="74" orientation="landscape" r:id="rId1"/>
  <headerFooter>
    <oddHeader>&amp;RDraft - Work in Progress</oddHeader>
    <oddFooter>&amp;L&amp;F
&amp;D, &amp;T&amp;CPage &amp;P of &amp;N&amp;R&amp;A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DE197-C3F8-404D-B643-1995DC3D09DF}">
  <dimension ref="A1:X37"/>
  <sheetViews>
    <sheetView tabSelected="1"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48" sqref="H48"/>
    </sheetView>
  </sheetViews>
  <sheetFormatPr defaultColWidth="8.6328125" defaultRowHeight="16"/>
  <cols>
    <col min="1" max="1" width="3" style="22" customWidth="1"/>
    <col min="2" max="2" width="28" style="22" customWidth="1"/>
    <col min="3" max="23" width="16.6328125" style="22" customWidth="1"/>
    <col min="24" max="25" width="8.6328125" style="22"/>
    <col min="26" max="26" width="11.36328125" style="22" bestFit="1" customWidth="1"/>
    <col min="27" max="16384" width="8.6328125" style="22"/>
  </cols>
  <sheetData>
    <row r="1" spans="1:23" ht="30" customHeight="1">
      <c r="B1" s="39" t="s">
        <v>35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3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4" t="s">
        <v>36</v>
      </c>
      <c r="V2" s="23"/>
      <c r="W2" s="23"/>
    </row>
    <row r="3" spans="1:23" ht="36" customHeight="1">
      <c r="B3" s="25" t="s">
        <v>1</v>
      </c>
      <c r="C3" s="42">
        <v>2023</v>
      </c>
      <c r="D3" s="43"/>
      <c r="E3" s="44"/>
      <c r="F3" s="45">
        <v>2024</v>
      </c>
      <c r="G3" s="46"/>
      <c r="H3" s="47"/>
      <c r="I3" s="42">
        <v>2025</v>
      </c>
      <c r="J3" s="43"/>
      <c r="K3" s="44"/>
      <c r="L3" s="45" t="s">
        <v>27</v>
      </c>
      <c r="M3" s="46"/>
      <c r="N3" s="47"/>
      <c r="O3" s="42" t="s">
        <v>28</v>
      </c>
      <c r="P3" s="43"/>
      <c r="Q3" s="44"/>
      <c r="R3" s="45" t="s">
        <v>29</v>
      </c>
      <c r="S3" s="46"/>
      <c r="T3" s="47"/>
      <c r="U3" s="42" t="s">
        <v>29</v>
      </c>
      <c r="V3" s="43"/>
      <c r="W3" s="44"/>
    </row>
    <row r="4" spans="1:23" s="49" customFormat="1" ht="18.75" customHeight="1">
      <c r="A4" s="48"/>
      <c r="B4" s="35" t="s">
        <v>37</v>
      </c>
      <c r="C4" s="35" t="s">
        <v>67</v>
      </c>
      <c r="D4" s="35" t="s">
        <v>65</v>
      </c>
      <c r="E4" s="35" t="s">
        <v>66</v>
      </c>
      <c r="F4" s="35" t="s">
        <v>67</v>
      </c>
      <c r="G4" s="35" t="s">
        <v>65</v>
      </c>
      <c r="H4" s="35" t="s">
        <v>66</v>
      </c>
      <c r="I4" s="35" t="s">
        <v>67</v>
      </c>
      <c r="J4" s="35" t="s">
        <v>65</v>
      </c>
      <c r="K4" s="35" t="s">
        <v>66</v>
      </c>
      <c r="L4" s="35" t="s">
        <v>67</v>
      </c>
      <c r="M4" s="35" t="s">
        <v>65</v>
      </c>
      <c r="N4" s="35" t="s">
        <v>66</v>
      </c>
      <c r="O4" s="35" t="s">
        <v>67</v>
      </c>
      <c r="P4" s="35" t="s">
        <v>65</v>
      </c>
      <c r="Q4" s="35" t="s">
        <v>66</v>
      </c>
      <c r="R4" s="35" t="s">
        <v>67</v>
      </c>
      <c r="S4" s="35" t="s">
        <v>65</v>
      </c>
      <c r="T4" s="35" t="s">
        <v>66</v>
      </c>
      <c r="U4" s="35" t="s">
        <v>67</v>
      </c>
      <c r="V4" s="35" t="s">
        <v>65</v>
      </c>
      <c r="W4" s="35" t="s">
        <v>66</v>
      </c>
    </row>
    <row r="5" spans="1:23" ht="18.75" customHeight="1">
      <c r="A5" s="26"/>
      <c r="B5" s="13" t="s">
        <v>47</v>
      </c>
      <c r="C5" s="14">
        <v>20152225789</v>
      </c>
      <c r="D5" s="14">
        <v>10452762620</v>
      </c>
      <c r="E5" s="14">
        <f>C5-D5</f>
        <v>9699463169</v>
      </c>
      <c r="F5" s="14">
        <v>23676781081</v>
      </c>
      <c r="G5" s="14">
        <v>10062974500</v>
      </c>
      <c r="H5" s="14">
        <f>F5-G5</f>
        <v>13613806581</v>
      </c>
      <c r="I5" s="14">
        <v>17908418139</v>
      </c>
      <c r="J5" s="14">
        <v>5567132948</v>
      </c>
      <c r="K5" s="14">
        <f>I5-J5</f>
        <v>12341285191</v>
      </c>
      <c r="L5" s="15">
        <v>25000000000</v>
      </c>
      <c r="M5" s="14">
        <v>16000000000</v>
      </c>
      <c r="N5" s="14">
        <f>L5-M5</f>
        <v>9000000000</v>
      </c>
      <c r="O5" s="15">
        <v>30000000000</v>
      </c>
      <c r="P5" s="14">
        <f>33000000000*0.75</f>
        <v>24750000000</v>
      </c>
      <c r="Q5" s="14">
        <f>O5-P5</f>
        <v>5250000000</v>
      </c>
      <c r="R5" s="15">
        <v>35000000000</v>
      </c>
      <c r="S5" s="14">
        <f>33000000000*0.8+60000000000*0.05</f>
        <v>29400000000</v>
      </c>
      <c r="T5" s="14">
        <f>R5-S5</f>
        <v>5600000000</v>
      </c>
      <c r="U5" s="15">
        <v>40000000000</v>
      </c>
      <c r="V5" s="14">
        <f>33000000000*0.8+60000000000*0.15</f>
        <v>35400000000</v>
      </c>
      <c r="W5" s="14">
        <f>U5-V5</f>
        <v>4600000000</v>
      </c>
    </row>
    <row r="6" spans="1:23" ht="18.75" customHeight="1">
      <c r="A6" s="26"/>
      <c r="B6" s="13" t="s">
        <v>48</v>
      </c>
      <c r="C6" s="14">
        <f>35986309772-20152225789</f>
        <v>15834083983</v>
      </c>
      <c r="D6" s="14"/>
      <c r="E6" s="14">
        <f t="shared" ref="E6:E12" si="0">C6-D6</f>
        <v>15834083983</v>
      </c>
      <c r="F6" s="14">
        <v>16182176623</v>
      </c>
      <c r="G6" s="14"/>
      <c r="H6" s="14">
        <f t="shared" ref="H6:H12" si="1">F6-G6</f>
        <v>16182176623</v>
      </c>
      <c r="I6" s="14">
        <f>1493030277+15656994948</f>
        <v>17150025225</v>
      </c>
      <c r="J6" s="14"/>
      <c r="K6" s="14">
        <f t="shared" ref="K6:K12" si="2">I6-J6</f>
        <v>17150025225</v>
      </c>
      <c r="L6" s="15">
        <v>15000000000</v>
      </c>
      <c r="M6" s="14"/>
      <c r="N6" s="14">
        <f t="shared" ref="N6:N12" si="3">L6-M6</f>
        <v>15000000000</v>
      </c>
      <c r="O6" s="15">
        <v>22000000000</v>
      </c>
      <c r="P6" s="14"/>
      <c r="Q6" s="14">
        <f>O6-P6</f>
        <v>22000000000</v>
      </c>
      <c r="R6" s="15">
        <v>25000000000</v>
      </c>
      <c r="S6" s="14"/>
      <c r="T6" s="14">
        <f>R6-S6</f>
        <v>25000000000</v>
      </c>
      <c r="U6" s="15">
        <v>30000000000</v>
      </c>
      <c r="V6" s="14"/>
      <c r="W6" s="14">
        <f>U6-V6</f>
        <v>30000000000</v>
      </c>
    </row>
    <row r="7" spans="1:23" ht="18.75" customHeight="1">
      <c r="A7" s="26"/>
      <c r="B7" s="16" t="s">
        <v>15</v>
      </c>
      <c r="C7" s="17">
        <f t="shared" ref="C7:U7" si="4">SUM(C5:C6)</f>
        <v>35986309772</v>
      </c>
      <c r="D7" s="17">
        <f t="shared" si="4"/>
        <v>10452762620</v>
      </c>
      <c r="E7" s="17">
        <f t="shared" si="0"/>
        <v>25533547152</v>
      </c>
      <c r="F7" s="17">
        <f t="shared" si="4"/>
        <v>39858957704</v>
      </c>
      <c r="G7" s="17">
        <f t="shared" si="4"/>
        <v>10062974500</v>
      </c>
      <c r="H7" s="17">
        <f t="shared" si="1"/>
        <v>29795983204</v>
      </c>
      <c r="I7" s="17">
        <f t="shared" si="4"/>
        <v>35058443364</v>
      </c>
      <c r="J7" s="17">
        <f t="shared" ref="J7" si="5">SUM(J5:J6)</f>
        <v>5567132948</v>
      </c>
      <c r="K7" s="17">
        <f t="shared" si="2"/>
        <v>29491310416</v>
      </c>
      <c r="L7" s="17">
        <f t="shared" si="4"/>
        <v>40000000000</v>
      </c>
      <c r="M7" s="17">
        <f t="shared" ref="M7:P7" si="6">SUM(M5:M6)</f>
        <v>16000000000</v>
      </c>
      <c r="N7" s="17">
        <f t="shared" si="3"/>
        <v>24000000000</v>
      </c>
      <c r="O7" s="17">
        <f t="shared" si="4"/>
        <v>52000000000</v>
      </c>
      <c r="P7" s="17">
        <f t="shared" si="6"/>
        <v>24750000000</v>
      </c>
      <c r="Q7" s="17">
        <f t="shared" ref="Q7" si="7">O7-P7</f>
        <v>27250000000</v>
      </c>
      <c r="R7" s="17">
        <f t="shared" si="4"/>
        <v>60000000000</v>
      </c>
      <c r="S7" s="17">
        <f t="shared" si="4"/>
        <v>29400000000</v>
      </c>
      <c r="T7" s="17">
        <f t="shared" ref="T7" si="8">R7-S7</f>
        <v>30600000000</v>
      </c>
      <c r="U7" s="17">
        <f t="shared" si="4"/>
        <v>70000000000</v>
      </c>
      <c r="V7" s="17">
        <f t="shared" ref="V7:W7" si="9">SUM(V5:V6)</f>
        <v>35400000000</v>
      </c>
      <c r="W7" s="17">
        <f t="shared" ref="W7" si="10">U7-V7</f>
        <v>34600000000</v>
      </c>
    </row>
    <row r="8" spans="1:23" ht="18.75" customHeight="1">
      <c r="A8" s="26"/>
      <c r="B8" s="12" t="s">
        <v>38</v>
      </c>
      <c r="C8" s="27"/>
      <c r="D8" s="27"/>
      <c r="E8" s="27">
        <f t="shared" si="0"/>
        <v>0</v>
      </c>
      <c r="F8" s="27"/>
      <c r="G8" s="27"/>
      <c r="H8" s="27">
        <f t="shared" si="1"/>
        <v>0</v>
      </c>
      <c r="I8" s="27"/>
      <c r="J8" s="27"/>
      <c r="K8" s="27">
        <f t="shared" si="2"/>
        <v>0</v>
      </c>
      <c r="L8" s="27"/>
      <c r="M8" s="27"/>
      <c r="N8" s="27">
        <f t="shared" si="3"/>
        <v>0</v>
      </c>
      <c r="O8" s="27"/>
      <c r="P8" s="27"/>
      <c r="Q8" s="27"/>
      <c r="R8" s="27"/>
      <c r="S8" s="27"/>
      <c r="T8" s="27"/>
      <c r="U8" s="27"/>
      <c r="V8" s="27"/>
      <c r="W8" s="27"/>
    </row>
    <row r="9" spans="1:23" ht="18.75" customHeight="1">
      <c r="A9" s="26"/>
      <c r="B9" s="13" t="s">
        <v>49</v>
      </c>
      <c r="C9" s="14">
        <v>18513911076</v>
      </c>
      <c r="D9" s="14">
        <f>D5-D12</f>
        <v>9081343603</v>
      </c>
      <c r="E9" s="14">
        <f t="shared" si="0"/>
        <v>9432567473</v>
      </c>
      <c r="F9" s="14">
        <v>23077354259</v>
      </c>
      <c r="G9" s="14">
        <f>G5-G12</f>
        <v>8651407794</v>
      </c>
      <c r="H9" s="14">
        <f t="shared" si="1"/>
        <v>14425946465</v>
      </c>
      <c r="I9" s="14">
        <v>18079823647</v>
      </c>
      <c r="J9" s="14">
        <f>J5-J12</f>
        <v>4758075001</v>
      </c>
      <c r="K9" s="14">
        <f t="shared" si="2"/>
        <v>13321748646</v>
      </c>
      <c r="L9" s="15">
        <f>L5*가정!$B$3</f>
        <v>20750000000</v>
      </c>
      <c r="M9" s="14">
        <f>M5*(1-M13)</f>
        <v>13440000000</v>
      </c>
      <c r="N9" s="14">
        <f>L9-M9</f>
        <v>7310000000</v>
      </c>
      <c r="O9" s="15">
        <f>O5*가정!$B$3</f>
        <v>24900000000</v>
      </c>
      <c r="P9" s="14">
        <f>P5*(1-P13)</f>
        <v>20790000000</v>
      </c>
      <c r="Q9" s="14">
        <f>O9-P9</f>
        <v>4110000000</v>
      </c>
      <c r="R9" s="15">
        <f>R5*가정!$B$3</f>
        <v>29050000000</v>
      </c>
      <c r="S9" s="14">
        <f>S5*(1-S13)</f>
        <v>24696000000</v>
      </c>
      <c r="T9" s="14">
        <f>R9-S9</f>
        <v>4354000000</v>
      </c>
      <c r="U9" s="15">
        <f>U5*가정!$B$3</f>
        <v>33200000000</v>
      </c>
      <c r="V9" s="14">
        <f>V5*(1-V13)</f>
        <v>29736000000</v>
      </c>
      <c r="W9" s="14">
        <f>U9-V9</f>
        <v>3464000000</v>
      </c>
    </row>
    <row r="10" spans="1:23" ht="18.75" customHeight="1">
      <c r="A10" s="26"/>
      <c r="B10" s="13" t="s">
        <v>50</v>
      </c>
      <c r="C10" s="14">
        <v>14074892199</v>
      </c>
      <c r="D10" s="14"/>
      <c r="E10" s="14">
        <f t="shared" si="0"/>
        <v>14074892199</v>
      </c>
      <c r="F10" s="14">
        <v>12739722350</v>
      </c>
      <c r="G10" s="14"/>
      <c r="H10" s="14">
        <f t="shared" si="1"/>
        <v>12739722350</v>
      </c>
      <c r="I10" s="14">
        <v>13194442088</v>
      </c>
      <c r="J10" s="14"/>
      <c r="K10" s="14">
        <f t="shared" si="2"/>
        <v>13194442088</v>
      </c>
      <c r="L10" s="15">
        <f>L6*가정!$B$3</f>
        <v>12450000000</v>
      </c>
      <c r="M10" s="14"/>
      <c r="N10" s="14">
        <f t="shared" si="3"/>
        <v>12450000000</v>
      </c>
      <c r="O10" s="15">
        <f>O6*가정!$B$3</f>
        <v>18260000000</v>
      </c>
      <c r="P10" s="14"/>
      <c r="Q10" s="14">
        <f t="shared" ref="Q10:Q14" si="11">O10-P10</f>
        <v>18260000000</v>
      </c>
      <c r="R10" s="15">
        <f>R6*가정!$B$3</f>
        <v>20750000000</v>
      </c>
      <c r="S10" s="14"/>
      <c r="T10" s="14">
        <f t="shared" ref="T10:T14" si="12">R10-S10</f>
        <v>20750000000</v>
      </c>
      <c r="U10" s="15">
        <f>U6*가정!$B$3</f>
        <v>24900000000</v>
      </c>
      <c r="V10" s="14"/>
      <c r="W10" s="14">
        <f t="shared" ref="W10:W14" si="13">U10-V10</f>
        <v>24900000000</v>
      </c>
    </row>
    <row r="11" spans="1:23" ht="18.75" customHeight="1">
      <c r="A11" s="26"/>
      <c r="B11" s="16" t="s">
        <v>16</v>
      </c>
      <c r="C11" s="17">
        <f t="shared" ref="C11:U11" si="14">SUM(C9:C10)</f>
        <v>32588803275</v>
      </c>
      <c r="D11" s="17">
        <f t="shared" si="14"/>
        <v>9081343603</v>
      </c>
      <c r="E11" s="17">
        <f t="shared" si="0"/>
        <v>23507459672</v>
      </c>
      <c r="F11" s="17">
        <f t="shared" si="14"/>
        <v>35817076609</v>
      </c>
      <c r="G11" s="17">
        <f t="shared" si="14"/>
        <v>8651407794</v>
      </c>
      <c r="H11" s="17">
        <f t="shared" si="1"/>
        <v>27165668815</v>
      </c>
      <c r="I11" s="17">
        <f t="shared" si="14"/>
        <v>31274265735</v>
      </c>
      <c r="J11" s="17">
        <f t="shared" ref="J11" si="15">SUM(J9:J10)</f>
        <v>4758075001</v>
      </c>
      <c r="K11" s="17">
        <f t="shared" si="2"/>
        <v>26516190734</v>
      </c>
      <c r="L11" s="17">
        <f>SUM(L9:L10)</f>
        <v>33200000000</v>
      </c>
      <c r="M11" s="17">
        <f t="shared" ref="M11" si="16">SUM(M9:M10)</f>
        <v>13440000000</v>
      </c>
      <c r="N11" s="17">
        <f t="shared" si="3"/>
        <v>19760000000</v>
      </c>
      <c r="O11" s="17">
        <f t="shared" si="14"/>
        <v>43160000000</v>
      </c>
      <c r="P11" s="17">
        <f t="shared" ref="P11" si="17">SUM(P9:P10)</f>
        <v>20790000000</v>
      </c>
      <c r="Q11" s="17">
        <f t="shared" si="11"/>
        <v>22370000000</v>
      </c>
      <c r="R11" s="17">
        <f t="shared" si="14"/>
        <v>49800000000</v>
      </c>
      <c r="S11" s="17">
        <f t="shared" ref="S11" si="18">SUM(S9:S10)</f>
        <v>24696000000</v>
      </c>
      <c r="T11" s="17">
        <f t="shared" si="12"/>
        <v>25104000000</v>
      </c>
      <c r="U11" s="17">
        <f t="shared" si="14"/>
        <v>58100000000</v>
      </c>
      <c r="V11" s="17">
        <f t="shared" ref="V11" si="19">SUM(V9:V10)</f>
        <v>29736000000</v>
      </c>
      <c r="W11" s="17">
        <f t="shared" si="13"/>
        <v>28364000000</v>
      </c>
    </row>
    <row r="12" spans="1:23" ht="18.75" customHeight="1">
      <c r="A12" s="26"/>
      <c r="B12" s="16" t="s">
        <v>39</v>
      </c>
      <c r="C12" s="17">
        <f t="shared" ref="C12:V12" si="20">C7-C11</f>
        <v>3397506497</v>
      </c>
      <c r="D12" s="17">
        <v>1371419017</v>
      </c>
      <c r="E12" s="17">
        <f t="shared" si="0"/>
        <v>2026087480</v>
      </c>
      <c r="F12" s="17">
        <f t="shared" si="20"/>
        <v>4041881095</v>
      </c>
      <c r="G12" s="17">
        <v>1411566706</v>
      </c>
      <c r="H12" s="17">
        <f t="shared" si="1"/>
        <v>2630314389</v>
      </c>
      <c r="I12" s="17">
        <f t="shared" si="20"/>
        <v>3784177629</v>
      </c>
      <c r="J12" s="17">
        <v>809057947</v>
      </c>
      <c r="K12" s="17">
        <f t="shared" si="2"/>
        <v>2975119682</v>
      </c>
      <c r="L12" s="17">
        <f>L7-L11</f>
        <v>6800000000</v>
      </c>
      <c r="M12" s="17">
        <f t="shared" si="20"/>
        <v>2560000000</v>
      </c>
      <c r="N12" s="17">
        <f t="shared" si="3"/>
        <v>4240000000</v>
      </c>
      <c r="O12" s="17">
        <f t="shared" si="20"/>
        <v>8840000000</v>
      </c>
      <c r="P12" s="17">
        <f t="shared" ref="P12" si="21">P7-P11</f>
        <v>3960000000</v>
      </c>
      <c r="Q12" s="17">
        <f t="shared" si="11"/>
        <v>4880000000</v>
      </c>
      <c r="R12" s="17">
        <f t="shared" si="20"/>
        <v>10200000000</v>
      </c>
      <c r="S12" s="17">
        <f t="shared" si="20"/>
        <v>4704000000</v>
      </c>
      <c r="T12" s="17">
        <f t="shared" si="12"/>
        <v>5496000000</v>
      </c>
      <c r="U12" s="17">
        <f t="shared" si="20"/>
        <v>11900000000</v>
      </c>
      <c r="V12" s="17">
        <f t="shared" si="20"/>
        <v>5664000000</v>
      </c>
      <c r="W12" s="17">
        <f t="shared" si="13"/>
        <v>6236000000</v>
      </c>
    </row>
    <row r="13" spans="1:23" ht="18.75" customHeight="1">
      <c r="A13" s="26"/>
      <c r="B13" s="13" t="s">
        <v>17</v>
      </c>
      <c r="C13" s="18">
        <f t="shared" ref="C13:U13" si="22">IFERROR(C12/C7,0)</f>
        <v>9.4411083507192795E-2</v>
      </c>
      <c r="D13" s="18">
        <f t="shared" si="22"/>
        <v>0.13120158439032839</v>
      </c>
      <c r="E13" s="18">
        <f>IFERROR(E12/E7,0)</f>
        <v>7.9350020110359007E-2</v>
      </c>
      <c r="F13" s="18">
        <f>IFERROR(F12/F7,0)</f>
        <v>0.10140458576503072</v>
      </c>
      <c r="G13" s="18">
        <f t="shared" si="22"/>
        <v>0.14027330646619446</v>
      </c>
      <c r="H13" s="18">
        <f>IFERROR(H12/H7,0)</f>
        <v>8.8277482605336216E-2</v>
      </c>
      <c r="I13" s="18">
        <f t="shared" si="22"/>
        <v>0.10793912295848847</v>
      </c>
      <c r="J13" s="18">
        <f t="shared" ref="J13" si="23">IFERROR(J12/J7,0)</f>
        <v>0.14532757786764464</v>
      </c>
      <c r="K13" s="18">
        <f>IFERROR(K12/K7,0)</f>
        <v>0.10088123043816664</v>
      </c>
      <c r="L13" s="18">
        <f t="shared" si="22"/>
        <v>0.17</v>
      </c>
      <c r="M13" s="18">
        <v>0.16</v>
      </c>
      <c r="N13" s="18">
        <f>IFERROR(N12/N7,0)</f>
        <v>0.17666666666666667</v>
      </c>
      <c r="O13" s="18">
        <f t="shared" si="22"/>
        <v>0.17</v>
      </c>
      <c r="P13" s="18">
        <f>M13</f>
        <v>0.16</v>
      </c>
      <c r="Q13" s="18">
        <f>IFERROR(Q12/Q7,0)</f>
        <v>0.17908256880733944</v>
      </c>
      <c r="R13" s="18">
        <f t="shared" si="22"/>
        <v>0.17</v>
      </c>
      <c r="S13" s="18">
        <f>P13</f>
        <v>0.16</v>
      </c>
      <c r="T13" s="18">
        <f>IFERROR(T12/T7,0)</f>
        <v>0.17960784313725489</v>
      </c>
      <c r="U13" s="18">
        <f t="shared" si="22"/>
        <v>0.17</v>
      </c>
      <c r="V13" s="18">
        <f>S13</f>
        <v>0.16</v>
      </c>
      <c r="W13" s="18">
        <f>IFERROR(W12/W7,0)</f>
        <v>0.18023121387283236</v>
      </c>
    </row>
    <row r="14" spans="1:23" ht="18.75" customHeight="1">
      <c r="A14" s="26"/>
      <c r="B14" s="12" t="s">
        <v>40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</row>
    <row r="15" spans="1:23" ht="18.75" customHeight="1">
      <c r="A15" s="26"/>
      <c r="B15" s="13" t="s">
        <v>18</v>
      </c>
      <c r="C15" s="14">
        <f>416282687+286041961+6403537+64419509</f>
        <v>773147694</v>
      </c>
      <c r="D15" s="14"/>
      <c r="E15" s="14"/>
      <c r="F15" s="14">
        <v>913927002</v>
      </c>
      <c r="G15" s="14"/>
      <c r="H15" s="14"/>
      <c r="I15" s="14">
        <v>1277062518</v>
      </c>
      <c r="J15" s="14"/>
      <c r="K15" s="14"/>
      <c r="L15" s="15">
        <f>I15*(1+가정!$B$5)</f>
        <v>1328145018.72</v>
      </c>
      <c r="M15" s="14"/>
      <c r="N15" s="14"/>
      <c r="O15" s="15">
        <f>L15*(1+가정!$B$5)</f>
        <v>1381270819.4688001</v>
      </c>
      <c r="P15" s="14"/>
      <c r="Q15" s="14"/>
      <c r="R15" s="15">
        <f>O15*(1+가정!$B$5)</f>
        <v>1436521652.2475522</v>
      </c>
      <c r="S15" s="14"/>
      <c r="T15" s="14"/>
      <c r="U15" s="15">
        <f>R15*(1+가정!$B$5)</f>
        <v>1493982518.3374543</v>
      </c>
      <c r="V15" s="14"/>
      <c r="W15" s="14"/>
    </row>
    <row r="16" spans="1:23" ht="18.75" customHeight="1">
      <c r="A16" s="26"/>
      <c r="B16" s="13" t="s">
        <v>19</v>
      </c>
      <c r="C16" s="14">
        <f>126432156+358124</f>
        <v>126790280</v>
      </c>
      <c r="D16" s="14"/>
      <c r="E16" s="14"/>
      <c r="F16" s="14">
        <v>129525863</v>
      </c>
      <c r="G16" s="14"/>
      <c r="H16" s="14"/>
      <c r="I16" s="14">
        <v>195014933</v>
      </c>
      <c r="J16" s="14"/>
      <c r="K16" s="14"/>
      <c r="L16" s="15">
        <f>$I$16+CAPEX!C14+CAPEX!C15</f>
        <v>320014933</v>
      </c>
      <c r="M16" s="14"/>
      <c r="N16" s="14"/>
      <c r="O16" s="15">
        <f>$I$16+CAPEX!D14+CAPEX!D15</f>
        <v>370014933</v>
      </c>
      <c r="P16" s="14"/>
      <c r="Q16" s="14"/>
      <c r="R16" s="15">
        <f>$I$16+CAPEX!E14+CAPEX!E15</f>
        <v>420014933</v>
      </c>
      <c r="S16" s="14"/>
      <c r="T16" s="14"/>
      <c r="U16" s="15">
        <f>$I$16+CAPEX!F14+CAPEX!F15</f>
        <v>420014933</v>
      </c>
      <c r="V16" s="14"/>
      <c r="W16" s="14"/>
    </row>
    <row r="17" spans="1:24" ht="18.75" customHeight="1">
      <c r="A17" s="26"/>
      <c r="B17" s="13" t="s">
        <v>51</v>
      </c>
      <c r="C17" s="14"/>
      <c r="D17" s="14"/>
      <c r="E17" s="14"/>
      <c r="F17" s="14"/>
      <c r="G17" s="14"/>
      <c r="H17" s="14"/>
      <c r="I17" s="14">
        <v>6369547050</v>
      </c>
      <c r="J17" s="14"/>
      <c r="K17" s="14"/>
      <c r="L17" s="15"/>
      <c r="M17" s="14"/>
      <c r="N17" s="14"/>
      <c r="O17" s="15"/>
      <c r="P17" s="14"/>
      <c r="Q17" s="14"/>
      <c r="R17" s="15"/>
      <c r="S17" s="14"/>
      <c r="T17" s="14"/>
      <c r="U17" s="15"/>
      <c r="V17" s="14"/>
      <c r="W17" s="14"/>
    </row>
    <row r="18" spans="1:24" ht="18.75" customHeight="1">
      <c r="A18" s="26"/>
      <c r="B18" s="13" t="s">
        <v>20</v>
      </c>
      <c r="C18" s="15">
        <f>1500542911-C15-C16</f>
        <v>600604937</v>
      </c>
      <c r="D18" s="15"/>
      <c r="E18" s="15"/>
      <c r="F18" s="15">
        <v>940633588</v>
      </c>
      <c r="G18" s="15"/>
      <c r="H18" s="15"/>
      <c r="I18" s="15">
        <v>1132691907</v>
      </c>
      <c r="J18" s="15"/>
      <c r="K18" s="15"/>
      <c r="L18" s="15">
        <f>L7*가정!$B$8</f>
        <v>1200000000</v>
      </c>
      <c r="M18" s="15"/>
      <c r="N18" s="15"/>
      <c r="O18" s="15">
        <f>O7*가정!$B$8</f>
        <v>1560000000</v>
      </c>
      <c r="P18" s="15"/>
      <c r="Q18" s="15"/>
      <c r="R18" s="15">
        <f>R7*가정!$B$8</f>
        <v>1800000000</v>
      </c>
      <c r="S18" s="15"/>
      <c r="T18" s="15"/>
      <c r="U18" s="15">
        <f>U7*가정!$B$8</f>
        <v>2100000000</v>
      </c>
      <c r="V18" s="15"/>
      <c r="W18" s="15"/>
      <c r="X18" s="28"/>
    </row>
    <row r="19" spans="1:24" ht="18.75" customHeight="1">
      <c r="A19" s="26"/>
      <c r="B19" s="16" t="s">
        <v>21</v>
      </c>
      <c r="C19" s="17">
        <f t="shared" ref="C19:U19" si="24">SUM(C15:C18)</f>
        <v>1500542911</v>
      </c>
      <c r="D19" s="17"/>
      <c r="E19" s="17"/>
      <c r="F19" s="17">
        <f t="shared" si="24"/>
        <v>1984086453</v>
      </c>
      <c r="G19" s="17"/>
      <c r="H19" s="17"/>
      <c r="I19" s="17">
        <f t="shared" si="24"/>
        <v>8974316408</v>
      </c>
      <c r="J19" s="17"/>
      <c r="K19" s="17"/>
      <c r="L19" s="17">
        <f t="shared" si="24"/>
        <v>2848159951.7200003</v>
      </c>
      <c r="M19" s="17"/>
      <c r="N19" s="17"/>
      <c r="O19" s="17">
        <f t="shared" si="24"/>
        <v>3311285752.4688001</v>
      </c>
      <c r="P19" s="17"/>
      <c r="Q19" s="17"/>
      <c r="R19" s="17">
        <f t="shared" si="24"/>
        <v>3656536585.2475519</v>
      </c>
      <c r="S19" s="17"/>
      <c r="T19" s="17"/>
      <c r="U19" s="17">
        <f t="shared" si="24"/>
        <v>4013997451.3374543</v>
      </c>
      <c r="V19" s="17"/>
      <c r="W19" s="17"/>
    </row>
    <row r="20" spans="1:24" ht="18.75" customHeight="1">
      <c r="A20" s="26"/>
      <c r="B20" s="16" t="s">
        <v>41</v>
      </c>
      <c r="C20" s="17">
        <f t="shared" ref="C20:U20" si="25">C12-C19</f>
        <v>1896963586</v>
      </c>
      <c r="D20" s="17"/>
      <c r="E20" s="17"/>
      <c r="F20" s="17">
        <f t="shared" si="25"/>
        <v>2057794642</v>
      </c>
      <c r="G20" s="17"/>
      <c r="H20" s="17"/>
      <c r="I20" s="17">
        <f t="shared" si="25"/>
        <v>-5190138779</v>
      </c>
      <c r="J20" s="17"/>
      <c r="K20" s="17"/>
      <c r="L20" s="17">
        <f>L12-L19</f>
        <v>3951840048.2799997</v>
      </c>
      <c r="M20" s="17"/>
      <c r="N20" s="17"/>
      <c r="O20" s="17">
        <f t="shared" si="25"/>
        <v>5528714247.5312004</v>
      </c>
      <c r="P20" s="17"/>
      <c r="Q20" s="17"/>
      <c r="R20" s="17">
        <f t="shared" si="25"/>
        <v>6543463414.7524481</v>
      </c>
      <c r="S20" s="17"/>
      <c r="T20" s="17"/>
      <c r="U20" s="17">
        <f t="shared" si="25"/>
        <v>7886002548.6625462</v>
      </c>
      <c r="V20" s="17"/>
      <c r="W20" s="17"/>
    </row>
    <row r="21" spans="1:24" ht="18.75" customHeight="1">
      <c r="A21" s="26"/>
      <c r="B21" s="13" t="s">
        <v>22</v>
      </c>
      <c r="C21" s="18">
        <f t="shared" ref="C21:U21" si="26">IFERROR(C20/C7,0)</f>
        <v>5.2713479042965874E-2</v>
      </c>
      <c r="D21" s="18"/>
      <c r="E21" s="18"/>
      <c r="F21" s="18">
        <f t="shared" si="26"/>
        <v>5.1626905482114308E-2</v>
      </c>
      <c r="G21" s="18"/>
      <c r="H21" s="18"/>
      <c r="I21" s="18">
        <f t="shared" si="26"/>
        <v>-0.14804247653304337</v>
      </c>
      <c r="J21" s="18"/>
      <c r="K21" s="18"/>
      <c r="L21" s="18">
        <f t="shared" si="26"/>
        <v>9.8796001206999995E-2</v>
      </c>
      <c r="M21" s="18"/>
      <c r="N21" s="18"/>
      <c r="O21" s="18">
        <f t="shared" si="26"/>
        <v>0.10632142783713847</v>
      </c>
      <c r="P21" s="18"/>
      <c r="Q21" s="18"/>
      <c r="R21" s="18">
        <f t="shared" si="26"/>
        <v>0.10905772357920747</v>
      </c>
      <c r="S21" s="18"/>
      <c r="T21" s="18"/>
      <c r="U21" s="18">
        <f t="shared" si="26"/>
        <v>0.1126571792666078</v>
      </c>
      <c r="V21" s="18"/>
      <c r="W21" s="18"/>
    </row>
    <row r="22" spans="1:24" ht="18.75" customHeight="1">
      <c r="A22" s="26"/>
      <c r="B22" s="12" t="s">
        <v>42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</row>
    <row r="23" spans="1:24" ht="18.75" customHeight="1">
      <c r="A23" s="26"/>
      <c r="B23" s="13" t="s">
        <v>23</v>
      </c>
      <c r="C23" s="14">
        <v>2307828</v>
      </c>
      <c r="D23" s="14"/>
      <c r="E23" s="14"/>
      <c r="F23" s="14">
        <v>9969973</v>
      </c>
      <c r="G23" s="14"/>
      <c r="H23" s="14"/>
      <c r="I23" s="14">
        <v>2015305</v>
      </c>
      <c r="J23" s="14"/>
      <c r="K23" s="14"/>
      <c r="L23" s="15">
        <f>I23</f>
        <v>2015305</v>
      </c>
      <c r="M23" s="14"/>
      <c r="N23" s="14"/>
      <c r="O23" s="15">
        <f>I23</f>
        <v>2015305</v>
      </c>
      <c r="P23" s="14"/>
      <c r="Q23" s="14"/>
      <c r="R23" s="15">
        <f>O23</f>
        <v>2015305</v>
      </c>
      <c r="S23" s="14"/>
      <c r="T23" s="14"/>
      <c r="U23" s="15">
        <f t="shared" ref="U23:U26" si="27">R23</f>
        <v>2015305</v>
      </c>
      <c r="V23" s="14"/>
      <c r="W23" s="14"/>
    </row>
    <row r="24" spans="1:24" ht="18.75" customHeight="1">
      <c r="A24" s="26"/>
      <c r="B24" s="13" t="s">
        <v>52</v>
      </c>
      <c r="C24" s="14"/>
      <c r="D24" s="14"/>
      <c r="E24" s="14"/>
      <c r="F24" s="14"/>
      <c r="G24" s="14"/>
      <c r="H24" s="14"/>
      <c r="I24" s="14">
        <v>-1864477018</v>
      </c>
      <c r="J24" s="14"/>
      <c r="K24" s="14"/>
      <c r="L24" s="15">
        <v>381870306.48831397</v>
      </c>
      <c r="M24" s="14"/>
      <c r="N24" s="14"/>
      <c r="O24" s="15">
        <v>381870306.48831397</v>
      </c>
      <c r="P24" s="14"/>
      <c r="Q24" s="14"/>
      <c r="R24" s="15">
        <f>O24</f>
        <v>381870306.48831397</v>
      </c>
      <c r="S24" s="14"/>
      <c r="T24" s="14"/>
      <c r="U24" s="15">
        <f>R24</f>
        <v>381870306.48831397</v>
      </c>
      <c r="V24" s="14"/>
      <c r="W24" s="14"/>
    </row>
    <row r="25" spans="1:24" ht="18.75" customHeight="1">
      <c r="A25" s="26"/>
      <c r="B25" s="13" t="s">
        <v>51</v>
      </c>
      <c r="C25" s="14"/>
      <c r="D25" s="14"/>
      <c r="E25" s="14"/>
      <c r="F25" s="14"/>
      <c r="G25" s="14"/>
      <c r="H25" s="14"/>
      <c r="I25" s="14">
        <v>-450000000</v>
      </c>
      <c r="J25" s="14"/>
      <c r="K25" s="14"/>
      <c r="L25" s="15"/>
      <c r="M25" s="14"/>
      <c r="N25" s="14"/>
      <c r="O25" s="15"/>
      <c r="P25" s="14"/>
      <c r="Q25" s="14"/>
      <c r="R25" s="15"/>
      <c r="S25" s="14"/>
      <c r="T25" s="14"/>
      <c r="U25" s="15"/>
      <c r="V25" s="14"/>
      <c r="W25" s="14"/>
    </row>
    <row r="26" spans="1:24" ht="18.75" customHeight="1">
      <c r="A26" s="26"/>
      <c r="B26" s="13" t="s">
        <v>24</v>
      </c>
      <c r="C26" s="14">
        <v>-562203615</v>
      </c>
      <c r="D26" s="14"/>
      <c r="E26" s="14"/>
      <c r="F26" s="14">
        <v>-888960220</v>
      </c>
      <c r="G26" s="14"/>
      <c r="H26" s="14"/>
      <c r="I26" s="14">
        <v>-851483342</v>
      </c>
      <c r="J26" s="14"/>
      <c r="K26" s="14"/>
      <c r="L26" s="15">
        <f>I26-200000000</f>
        <v>-1051483342</v>
      </c>
      <c r="M26" s="14"/>
      <c r="N26" s="14"/>
      <c r="O26" s="15">
        <f>L26</f>
        <v>-1051483342</v>
      </c>
      <c r="P26" s="14"/>
      <c r="Q26" s="14"/>
      <c r="R26" s="15">
        <f>O26</f>
        <v>-1051483342</v>
      </c>
      <c r="S26" s="14"/>
      <c r="T26" s="14"/>
      <c r="U26" s="15">
        <f t="shared" si="27"/>
        <v>-1051483342</v>
      </c>
      <c r="V26" s="14"/>
      <c r="W26" s="14"/>
    </row>
    <row r="27" spans="1:24" ht="18.75" customHeight="1">
      <c r="A27" s="26"/>
      <c r="B27" s="13" t="s">
        <v>25</v>
      </c>
      <c r="C27" s="14">
        <f>C28-SUM(C23:C26)</f>
        <v>-26716447</v>
      </c>
      <c r="D27" s="14"/>
      <c r="E27" s="14"/>
      <c r="F27" s="14">
        <f t="shared" ref="F27:I27" si="28">F28-SUM(F23:F26)</f>
        <v>930203791</v>
      </c>
      <c r="G27" s="14"/>
      <c r="H27" s="14"/>
      <c r="I27" s="14">
        <f t="shared" si="28"/>
        <v>63375607</v>
      </c>
      <c r="J27" s="14"/>
      <c r="K27" s="14"/>
      <c r="L27" s="15">
        <f>I27</f>
        <v>63375607</v>
      </c>
      <c r="M27" s="14"/>
      <c r="N27" s="14"/>
      <c r="O27" s="15">
        <f>I27</f>
        <v>63375607</v>
      </c>
      <c r="P27" s="14"/>
      <c r="Q27" s="14"/>
      <c r="R27" s="15">
        <f>O27</f>
        <v>63375607</v>
      </c>
      <c r="S27" s="14"/>
      <c r="T27" s="14"/>
      <c r="U27" s="15">
        <f>R27</f>
        <v>63375607</v>
      </c>
      <c r="V27" s="14"/>
      <c r="W27" s="14"/>
    </row>
    <row r="28" spans="1:24" ht="18.75" customHeight="1">
      <c r="A28" s="26"/>
      <c r="B28" s="16" t="s">
        <v>43</v>
      </c>
      <c r="C28" s="17">
        <f>230982834-817595068</f>
        <v>-586612234</v>
      </c>
      <c r="D28" s="17"/>
      <c r="E28" s="17"/>
      <c r="F28" s="17">
        <f>1239933538-1188719994</f>
        <v>51213544</v>
      </c>
      <c r="G28" s="17"/>
      <c r="H28" s="17"/>
      <c r="I28" s="17">
        <f>424082271-3524651719</f>
        <v>-3100569448</v>
      </c>
      <c r="J28" s="17"/>
      <c r="K28" s="17"/>
      <c r="L28" s="17">
        <f>SUM(L23:L27)</f>
        <v>-604222123.51168609</v>
      </c>
      <c r="M28" s="17"/>
      <c r="N28" s="17"/>
      <c r="O28" s="17">
        <f>SUM(O23:O27)</f>
        <v>-604222123.51168609</v>
      </c>
      <c r="P28" s="17"/>
      <c r="Q28" s="17"/>
      <c r="R28" s="17">
        <f>SUM(R23:R27)</f>
        <v>-604222123.51168609</v>
      </c>
      <c r="S28" s="17"/>
      <c r="T28" s="17"/>
      <c r="U28" s="17">
        <f>SUM(U23:U27)</f>
        <v>-604222123.51168609</v>
      </c>
      <c r="V28" s="17"/>
      <c r="W28" s="17"/>
    </row>
    <row r="29" spans="1:24" ht="18.75" customHeight="1">
      <c r="A29" s="26"/>
      <c r="B29" s="16" t="s">
        <v>44</v>
      </c>
      <c r="C29" s="17">
        <f t="shared" ref="C29:U29" si="29">C20+C28</f>
        <v>1310351352</v>
      </c>
      <c r="D29" s="17"/>
      <c r="E29" s="17"/>
      <c r="F29" s="17">
        <f t="shared" si="29"/>
        <v>2109008186</v>
      </c>
      <c r="G29" s="17"/>
      <c r="H29" s="17"/>
      <c r="I29" s="17">
        <f t="shared" si="29"/>
        <v>-8290708227</v>
      </c>
      <c r="J29" s="17"/>
      <c r="K29" s="17"/>
      <c r="L29" s="17">
        <f t="shared" si="29"/>
        <v>3347617924.7683134</v>
      </c>
      <c r="M29" s="17"/>
      <c r="N29" s="17"/>
      <c r="O29" s="17">
        <f t="shared" si="29"/>
        <v>4924492124.0195141</v>
      </c>
      <c r="P29" s="17"/>
      <c r="Q29" s="17"/>
      <c r="R29" s="17">
        <f t="shared" si="29"/>
        <v>5939241291.2407618</v>
      </c>
      <c r="S29" s="17"/>
      <c r="T29" s="17"/>
      <c r="U29" s="17">
        <f t="shared" si="29"/>
        <v>7281780425.1508598</v>
      </c>
      <c r="V29" s="17"/>
      <c r="W29" s="17"/>
    </row>
    <row r="30" spans="1:24" ht="18.75" customHeight="1">
      <c r="A30" s="26"/>
      <c r="B30" s="19" t="s">
        <v>45</v>
      </c>
      <c r="C30" s="15">
        <v>208456787</v>
      </c>
      <c r="D30" s="15"/>
      <c r="E30" s="15"/>
      <c r="F30" s="15">
        <v>496600138</v>
      </c>
      <c r="G30" s="15"/>
      <c r="H30" s="15"/>
      <c r="I30" s="15">
        <v>78338542</v>
      </c>
      <c r="J30" s="15"/>
      <c r="K30" s="15"/>
      <c r="L30" s="15">
        <f>MAX(L29*가정!$B$12,0)</f>
        <v>736475943.44902897</v>
      </c>
      <c r="M30" s="15"/>
      <c r="N30" s="15"/>
      <c r="O30" s="15">
        <f>MAX(O29*가정!$B$12,0)</f>
        <v>1083388267.2842932</v>
      </c>
      <c r="P30" s="15"/>
      <c r="Q30" s="15"/>
      <c r="R30" s="15">
        <f>MAX(R29*가정!$B$12,0)</f>
        <v>1306633084.0729675</v>
      </c>
      <c r="S30" s="15"/>
      <c r="T30" s="15"/>
      <c r="U30" s="15">
        <f>MAX(U29*가정!$B$12,0)</f>
        <v>1601991693.5331891</v>
      </c>
      <c r="V30" s="15"/>
      <c r="W30" s="15"/>
    </row>
    <row r="31" spans="1:24" ht="18.75" customHeight="1">
      <c r="A31" s="26"/>
      <c r="B31" s="20" t="s">
        <v>46</v>
      </c>
      <c r="C31" s="21">
        <f t="shared" ref="C31:U31" si="30">C29-C30</f>
        <v>1101894565</v>
      </c>
      <c r="D31" s="21"/>
      <c r="E31" s="21"/>
      <c r="F31" s="21">
        <f t="shared" si="30"/>
        <v>1612408048</v>
      </c>
      <c r="G31" s="21"/>
      <c r="H31" s="21"/>
      <c r="I31" s="21">
        <f t="shared" si="30"/>
        <v>-8369046769</v>
      </c>
      <c r="J31" s="21"/>
      <c r="K31" s="21"/>
      <c r="L31" s="21">
        <f>L29-L30</f>
        <v>2611141981.3192844</v>
      </c>
      <c r="M31" s="21"/>
      <c r="N31" s="21"/>
      <c r="O31" s="21">
        <f t="shared" si="30"/>
        <v>3841103856.7352209</v>
      </c>
      <c r="P31" s="21"/>
      <c r="Q31" s="21"/>
      <c r="R31" s="21">
        <f t="shared" si="30"/>
        <v>4632608207.1677942</v>
      </c>
      <c r="S31" s="21"/>
      <c r="T31" s="21"/>
      <c r="U31" s="21">
        <f t="shared" si="30"/>
        <v>5679788731.617671</v>
      </c>
      <c r="V31" s="21"/>
      <c r="W31" s="21"/>
    </row>
    <row r="32" spans="1:24" ht="18.75" customHeight="1">
      <c r="A32" s="26"/>
      <c r="B32" s="13" t="s">
        <v>26</v>
      </c>
      <c r="C32" s="18">
        <f t="shared" ref="C32:U32" si="31">IFERROR(C31/C7,0)</f>
        <v>3.0619826594650033E-2</v>
      </c>
      <c r="D32" s="18"/>
      <c r="E32" s="18"/>
      <c r="F32" s="18">
        <f t="shared" si="31"/>
        <v>4.0452840236667523E-2</v>
      </c>
      <c r="G32" s="18"/>
      <c r="H32" s="18"/>
      <c r="I32" s="18">
        <f t="shared" si="31"/>
        <v>-0.2387170098257646</v>
      </c>
      <c r="J32" s="18"/>
      <c r="K32" s="18"/>
      <c r="L32" s="18">
        <f t="shared" si="31"/>
        <v>6.5278549532982108E-2</v>
      </c>
      <c r="M32" s="18"/>
      <c r="N32" s="18"/>
      <c r="O32" s="18">
        <f t="shared" si="31"/>
        <v>7.3867381860292708E-2</v>
      </c>
      <c r="P32" s="18"/>
      <c r="Q32" s="18"/>
      <c r="R32" s="18">
        <f t="shared" si="31"/>
        <v>7.721013678612991E-2</v>
      </c>
      <c r="S32" s="18"/>
      <c r="T32" s="18"/>
      <c r="U32" s="18">
        <f t="shared" si="31"/>
        <v>8.1139839023109589E-2</v>
      </c>
      <c r="V32" s="18"/>
      <c r="W32" s="18"/>
    </row>
    <row r="34" spans="2:23">
      <c r="B34" s="29"/>
      <c r="C34" s="29"/>
      <c r="D34" s="29"/>
      <c r="E34" s="29"/>
      <c r="H34" s="29"/>
      <c r="K34" s="29"/>
      <c r="N34" s="29"/>
    </row>
    <row r="35" spans="2:23">
      <c r="B35" s="30"/>
      <c r="C35" s="30"/>
      <c r="D35" s="30"/>
      <c r="E35" s="30"/>
      <c r="F35" s="31"/>
      <c r="G35" s="31"/>
      <c r="H35" s="30"/>
      <c r="J35" s="31"/>
      <c r="K35" s="30"/>
      <c r="M35" s="31"/>
      <c r="N35" s="30"/>
      <c r="P35" s="31"/>
      <c r="Q35" s="31"/>
      <c r="S35" s="31"/>
      <c r="T35" s="31"/>
      <c r="V35" s="31"/>
      <c r="W35" s="31"/>
    </row>
    <row r="36" spans="2:23">
      <c r="B36" s="30"/>
      <c r="C36" s="30"/>
      <c r="D36" s="30"/>
      <c r="E36" s="30"/>
      <c r="F36" s="31"/>
      <c r="G36" s="31"/>
      <c r="H36" s="30"/>
      <c r="J36" s="31"/>
      <c r="K36" s="30"/>
      <c r="M36" s="31"/>
      <c r="N36" s="30"/>
      <c r="P36" s="31"/>
      <c r="Q36" s="31"/>
      <c r="S36" s="31"/>
      <c r="T36" s="31"/>
      <c r="V36" s="31"/>
      <c r="W36" s="31"/>
    </row>
    <row r="37" spans="2:23">
      <c r="B37" s="30"/>
      <c r="C37" s="30"/>
      <c r="D37" s="30"/>
      <c r="E37" s="30"/>
      <c r="F37" s="31"/>
      <c r="G37" s="31"/>
      <c r="H37" s="30"/>
      <c r="J37" s="31"/>
      <c r="K37" s="30"/>
      <c r="M37" s="31"/>
      <c r="N37" s="30"/>
      <c r="P37" s="31"/>
      <c r="Q37" s="31"/>
      <c r="S37" s="31"/>
      <c r="T37" s="31"/>
      <c r="V37" s="31"/>
      <c r="W37" s="31"/>
    </row>
  </sheetData>
  <mergeCells count="8">
    <mergeCell ref="B1:U1"/>
    <mergeCell ref="C3:E3"/>
    <mergeCell ref="F3:H3"/>
    <mergeCell ref="I3:K3"/>
    <mergeCell ref="L3:N3"/>
    <mergeCell ref="O3:Q3"/>
    <mergeCell ref="R3:T3"/>
    <mergeCell ref="U3:W3"/>
  </mergeCells>
  <phoneticPr fontId="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16A7C-5881-4518-9AF3-3304664A1A0E}">
  <dimension ref="G3:G7"/>
  <sheetViews>
    <sheetView workbookViewId="0">
      <selection activeCell="A4" sqref="A4:C4"/>
    </sheetView>
  </sheetViews>
  <sheetFormatPr defaultRowHeight="14.5"/>
  <cols>
    <col min="7" max="7" width="15.26953125" bestFit="1" customWidth="1"/>
  </cols>
  <sheetData>
    <row r="3" spans="7:7">
      <c r="G3" s="40">
        <f>43000000000/0.7</f>
        <v>61428571428.571434</v>
      </c>
    </row>
    <row r="7" spans="7:7">
      <c r="G7" s="41">
        <f>G3*60%</f>
        <v>36857142857.14286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가정</vt:lpstr>
      <vt:lpstr>Sheet1</vt:lpstr>
      <vt:lpstr>추정손익계산서</vt:lpstr>
      <vt:lpstr>CAPEX</vt:lpstr>
      <vt:lpstr>추정손익 (마스크 구분)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전 여진</cp:lastModifiedBy>
  <cp:revision>0</cp:revision>
  <dcterms:created xsi:type="dcterms:W3CDTF">2026-04-23T02:46:49Z</dcterms:created>
  <dcterms:modified xsi:type="dcterms:W3CDTF">2026-08-23T09:39:27Z</dcterms:modified>
  <dc:language>en-US</dc:language>
</cp:coreProperties>
</file>